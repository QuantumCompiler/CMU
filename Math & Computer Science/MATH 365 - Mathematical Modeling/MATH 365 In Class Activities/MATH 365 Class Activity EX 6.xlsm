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te/Documents/"/>
    </mc:Choice>
  </mc:AlternateContent>
  <xr:revisionPtr revIDLastSave="0" documentId="8_{30A72202-D216-5340-945D-09F92C4E8737}" xr6:coauthVersionLast="32" xr6:coauthVersionMax="32" xr10:uidLastSave="{00000000-0000-0000-0000-000000000000}"/>
  <bookViews>
    <workbookView xWindow="0" yWindow="460" windowWidth="25600" windowHeight="12300" xr2:uid="{00000000-000D-0000-FFFF-FFFF00000000}"/>
  </bookViews>
  <sheets>
    <sheet name="Coffee Shop" sheetId="1" r:id="rId1"/>
  </sheets>
  <definedNames>
    <definedName name="_xlnm.Print_Area" localSheetId="0">'Coffee Shop'!$A$1:$S$109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G8" i="1"/>
  <c r="E8" i="1"/>
  <c r="F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8" i="1"/>
  <c r="C8" i="1" s="1"/>
  <c r="I8" i="1" l="1"/>
  <c r="J8" i="1" l="1"/>
  <c r="G9" i="1" l="1"/>
  <c r="F9" i="1"/>
  <c r="I9" i="1" l="1"/>
  <c r="J9" i="1" s="1"/>
  <c r="G10" i="1" l="1"/>
  <c r="F10" i="1"/>
  <c r="I10" i="1" l="1"/>
  <c r="J10" i="1" s="1"/>
  <c r="G11" i="1" l="1"/>
  <c r="F11" i="1"/>
  <c r="I11" i="1" l="1"/>
  <c r="J11" i="1" s="1"/>
  <c r="G12" i="1" l="1"/>
  <c r="F12" i="1"/>
  <c r="I12" i="1" s="1"/>
  <c r="J12" i="1" l="1"/>
  <c r="G13" i="1" l="1"/>
  <c r="F13" i="1"/>
  <c r="I13" i="1" s="1"/>
  <c r="J13" i="1" l="1"/>
  <c r="G14" i="1" l="1"/>
  <c r="F14" i="1"/>
  <c r="I14" i="1" s="1"/>
  <c r="J14" i="1" l="1"/>
  <c r="G15" i="1" s="1"/>
  <c r="F15" i="1" l="1"/>
  <c r="I15" i="1" s="1"/>
  <c r="J15" i="1" s="1"/>
  <c r="G16" i="1" s="1"/>
  <c r="F16" i="1" l="1"/>
  <c r="I16" i="1" s="1"/>
  <c r="J16" i="1" s="1"/>
  <c r="G17" i="1" s="1"/>
  <c r="F17" i="1" l="1"/>
  <c r="I17" i="1" s="1"/>
  <c r="J17" i="1" s="1"/>
  <c r="G18" i="1" l="1"/>
  <c r="F18" i="1"/>
  <c r="I18" i="1" s="1"/>
  <c r="J18" i="1" l="1"/>
  <c r="G19" i="1" s="1"/>
  <c r="F19" i="1" l="1"/>
  <c r="I19" i="1" s="1"/>
  <c r="J19" i="1" s="1"/>
  <c r="G20" i="1" s="1"/>
  <c r="F20" i="1" l="1"/>
  <c r="I20" i="1" s="1"/>
  <c r="J20" i="1" s="1"/>
  <c r="F21" i="1" s="1"/>
  <c r="I21" i="1" s="1"/>
  <c r="G21" i="1" l="1"/>
  <c r="J21" i="1" s="1"/>
  <c r="G22" i="1" s="1"/>
  <c r="F22" i="1" l="1"/>
  <c r="I22" i="1" s="1"/>
  <c r="J22" i="1" s="1"/>
  <c r="G23" i="1" s="1"/>
  <c r="F23" i="1" l="1"/>
  <c r="I23" i="1" s="1"/>
  <c r="J23" i="1" s="1"/>
  <c r="G24" i="1" s="1"/>
  <c r="F24" i="1" l="1"/>
  <c r="I24" i="1" s="1"/>
  <c r="J24" i="1" s="1"/>
  <c r="G25" i="1" s="1"/>
  <c r="F25" i="1" l="1"/>
  <c r="I25" i="1" s="1"/>
  <c r="J25" i="1" s="1"/>
  <c r="G26" i="1" s="1"/>
  <c r="F26" i="1" l="1"/>
  <c r="I26" i="1" s="1"/>
  <c r="J26" i="1" s="1"/>
  <c r="G27" i="1" l="1"/>
  <c r="F27" i="1"/>
  <c r="I27" i="1" s="1"/>
  <c r="J27" i="1" l="1"/>
  <c r="G28" i="1" s="1"/>
  <c r="F28" i="1" l="1"/>
  <c r="I28" i="1" s="1"/>
  <c r="J28" i="1" s="1"/>
  <c r="G29" i="1" s="1"/>
  <c r="F29" i="1" l="1"/>
  <c r="I29" i="1" s="1"/>
  <c r="J29" i="1" s="1"/>
  <c r="G30" i="1" s="1"/>
  <c r="F30" i="1" l="1"/>
  <c r="I30" i="1" s="1"/>
  <c r="J30" i="1" s="1"/>
  <c r="G31" i="1" s="1"/>
  <c r="F31" i="1" l="1"/>
  <c r="I31" i="1" s="1"/>
  <c r="J31" i="1" s="1"/>
  <c r="G32" i="1" s="1"/>
  <c r="F32" i="1" l="1"/>
  <c r="I32" i="1" s="1"/>
  <c r="J32" i="1" s="1"/>
  <c r="G33" i="1" s="1"/>
  <c r="F33" i="1" l="1"/>
  <c r="I33" i="1" s="1"/>
  <c r="J33" i="1" s="1"/>
  <c r="G34" i="1" s="1"/>
  <c r="F34" i="1" l="1"/>
  <c r="I34" i="1" s="1"/>
  <c r="J34" i="1" s="1"/>
  <c r="G35" i="1" s="1"/>
  <c r="F35" i="1" l="1"/>
  <c r="I35" i="1" s="1"/>
  <c r="J35" i="1" s="1"/>
  <c r="G36" i="1" s="1"/>
  <c r="F36" i="1" l="1"/>
  <c r="I36" i="1" s="1"/>
  <c r="J36" i="1" s="1"/>
  <c r="G37" i="1" s="1"/>
  <c r="F37" i="1" l="1"/>
  <c r="I37" i="1" s="1"/>
  <c r="J37" i="1" s="1"/>
  <c r="G38" i="1" s="1"/>
  <c r="F38" i="1" l="1"/>
  <c r="I38" i="1" s="1"/>
  <c r="J38" i="1" s="1"/>
  <c r="G39" i="1" s="1"/>
  <c r="F39" i="1" l="1"/>
  <c r="I39" i="1" s="1"/>
  <c r="J39" i="1" s="1"/>
  <c r="G40" i="1" s="1"/>
  <c r="F40" i="1" l="1"/>
  <c r="I40" i="1" s="1"/>
  <c r="J40" i="1" s="1"/>
  <c r="G41" i="1" s="1"/>
  <c r="F41" i="1" l="1"/>
  <c r="I41" i="1" s="1"/>
  <c r="J41" i="1" s="1"/>
  <c r="G42" i="1" s="1"/>
  <c r="F42" i="1" l="1"/>
  <c r="I42" i="1" s="1"/>
  <c r="J42" i="1" s="1"/>
  <c r="G43" i="1" s="1"/>
  <c r="F43" i="1" l="1"/>
  <c r="I43" i="1" s="1"/>
  <c r="J43" i="1" s="1"/>
  <c r="G44" i="1" s="1"/>
  <c r="F44" i="1" l="1"/>
  <c r="I44" i="1" s="1"/>
  <c r="J44" i="1" s="1"/>
  <c r="G45" i="1" s="1"/>
  <c r="F45" i="1" l="1"/>
  <c r="I45" i="1" s="1"/>
  <c r="J45" i="1" s="1"/>
  <c r="G46" i="1" s="1"/>
  <c r="F46" i="1" l="1"/>
  <c r="I46" i="1" s="1"/>
  <c r="J46" i="1" s="1"/>
  <c r="G47" i="1" s="1"/>
  <c r="F47" i="1" l="1"/>
  <c r="I47" i="1" s="1"/>
  <c r="J47" i="1" s="1"/>
  <c r="G48" i="1" l="1"/>
  <c r="F48" i="1"/>
  <c r="I48" i="1" s="1"/>
  <c r="J48" i="1" l="1"/>
  <c r="F49" i="1" s="1"/>
  <c r="I49" i="1" s="1"/>
  <c r="G49" i="1" l="1"/>
  <c r="J49" i="1" s="1"/>
  <c r="G50" i="1" l="1"/>
  <c r="F50" i="1"/>
  <c r="I50" i="1" s="1"/>
  <c r="J50" i="1" l="1"/>
  <c r="F51" i="1" s="1"/>
  <c r="I51" i="1" s="1"/>
  <c r="G51" i="1" l="1"/>
  <c r="J51" i="1" s="1"/>
  <c r="G52" i="1" s="1"/>
  <c r="F52" i="1" l="1"/>
  <c r="I52" i="1" s="1"/>
  <c r="J52" i="1" s="1"/>
  <c r="G53" i="1" s="1"/>
  <c r="F53" i="1" l="1"/>
  <c r="I53" i="1" s="1"/>
  <c r="J53" i="1" s="1"/>
  <c r="G54" i="1" s="1"/>
  <c r="F54" i="1" l="1"/>
  <c r="I54" i="1" s="1"/>
  <c r="J54" i="1" s="1"/>
  <c r="G55" i="1" s="1"/>
  <c r="F55" i="1" l="1"/>
  <c r="I55" i="1" s="1"/>
  <c r="J55" i="1" s="1"/>
  <c r="G56" i="1" s="1"/>
  <c r="F56" i="1" l="1"/>
  <c r="I56" i="1" s="1"/>
  <c r="J56" i="1" s="1"/>
  <c r="G57" i="1" s="1"/>
  <c r="F57" i="1" l="1"/>
  <c r="I57" i="1" s="1"/>
  <c r="J57" i="1" s="1"/>
  <c r="G58" i="1" s="1"/>
  <c r="F58" i="1" l="1"/>
  <c r="I58" i="1" s="1"/>
  <c r="J58" i="1" s="1"/>
  <c r="F59" i="1" s="1"/>
  <c r="I59" i="1" s="1"/>
  <c r="G59" i="1" l="1"/>
  <c r="J59" i="1" s="1"/>
  <c r="G60" i="1" s="1"/>
  <c r="F60" i="1" l="1"/>
  <c r="I60" i="1" s="1"/>
  <c r="J60" i="1" s="1"/>
  <c r="G61" i="1" s="1"/>
  <c r="F61" i="1" l="1"/>
  <c r="I61" i="1" s="1"/>
  <c r="J61" i="1" s="1"/>
  <c r="F62" i="1" s="1"/>
  <c r="I62" i="1" s="1"/>
  <c r="G62" i="1" l="1"/>
  <c r="J62" i="1" s="1"/>
  <c r="G63" i="1" l="1"/>
  <c r="F63" i="1"/>
  <c r="I63" i="1" s="1"/>
  <c r="J63" i="1" l="1"/>
  <c r="F64" i="1" s="1"/>
  <c r="I64" i="1" s="1"/>
  <c r="G64" i="1" l="1"/>
  <c r="J64" i="1"/>
  <c r="G65" i="1" l="1"/>
  <c r="F65" i="1"/>
  <c r="I65" i="1" s="1"/>
  <c r="J65" i="1" s="1"/>
  <c r="G66" i="1" l="1"/>
  <c r="F66" i="1"/>
  <c r="I66" i="1" s="1"/>
  <c r="J66" i="1" s="1"/>
  <c r="G67" i="1" l="1"/>
  <c r="F67" i="1"/>
  <c r="I67" i="1" s="1"/>
  <c r="J67" i="1" l="1"/>
  <c r="G68" i="1"/>
  <c r="F68" i="1"/>
  <c r="I68" i="1" s="1"/>
  <c r="J68" i="1" s="1"/>
  <c r="G69" i="1" l="1"/>
  <c r="F69" i="1"/>
  <c r="I69" i="1" s="1"/>
  <c r="J69" i="1" s="1"/>
  <c r="G70" i="1" l="1"/>
  <c r="F70" i="1"/>
  <c r="I70" i="1" s="1"/>
  <c r="J70" i="1" l="1"/>
  <c r="G71" i="1"/>
  <c r="F71" i="1"/>
  <c r="I71" i="1" s="1"/>
  <c r="J71" i="1" s="1"/>
  <c r="G72" i="1" l="1"/>
  <c r="F72" i="1"/>
  <c r="I72" i="1" s="1"/>
  <c r="J72" i="1" l="1"/>
  <c r="F73" i="1" s="1"/>
  <c r="I73" i="1" s="1"/>
  <c r="G73" i="1" l="1"/>
  <c r="J73" i="1"/>
  <c r="G74" i="1" l="1"/>
  <c r="F74" i="1"/>
  <c r="I74" i="1" s="1"/>
  <c r="J74" i="1" l="1"/>
  <c r="G75" i="1" s="1"/>
  <c r="F75" i="1" l="1"/>
  <c r="I75" i="1" s="1"/>
  <c r="J75" i="1" s="1"/>
  <c r="G76" i="1" s="1"/>
  <c r="F76" i="1" l="1"/>
  <c r="I76" i="1" s="1"/>
  <c r="J76" i="1" s="1"/>
  <c r="G77" i="1" s="1"/>
  <c r="F77" i="1" l="1"/>
  <c r="I77" i="1" s="1"/>
  <c r="J77" i="1" s="1"/>
  <c r="G78" i="1" s="1"/>
  <c r="F78" i="1" l="1"/>
  <c r="I78" i="1" s="1"/>
  <c r="J78" i="1" s="1"/>
  <c r="F79" i="1" l="1"/>
  <c r="I79" i="1" s="1"/>
  <c r="G79" i="1"/>
  <c r="J79" i="1" l="1"/>
  <c r="G80" i="1" s="1"/>
  <c r="F80" i="1" l="1"/>
  <c r="I80" i="1" s="1"/>
  <c r="J80" i="1" s="1"/>
  <c r="G81" i="1" s="1"/>
  <c r="F81" i="1" l="1"/>
  <c r="I81" i="1" s="1"/>
  <c r="J81" i="1" s="1"/>
  <c r="G82" i="1" s="1"/>
  <c r="F82" i="1" l="1"/>
  <c r="I82" i="1" s="1"/>
  <c r="J82" i="1" s="1"/>
  <c r="F83" i="1" s="1"/>
  <c r="I83" i="1" s="1"/>
  <c r="G83" i="1" l="1"/>
  <c r="J83" i="1"/>
  <c r="F84" i="1" s="1"/>
  <c r="I84" i="1" s="1"/>
  <c r="G84" i="1" l="1"/>
  <c r="J84" i="1" s="1"/>
  <c r="G85" i="1" l="1"/>
  <c r="F85" i="1"/>
  <c r="I85" i="1" s="1"/>
  <c r="J85" i="1" s="1"/>
  <c r="G86" i="1" l="1"/>
  <c r="F86" i="1"/>
  <c r="I86" i="1" s="1"/>
  <c r="J86" i="1" l="1"/>
  <c r="G87" i="1"/>
  <c r="F87" i="1"/>
  <c r="I87" i="1" s="1"/>
  <c r="J87" i="1" l="1"/>
  <c r="G88" i="1" s="1"/>
  <c r="F88" i="1" l="1"/>
  <c r="I88" i="1" s="1"/>
  <c r="J88" i="1" s="1"/>
  <c r="F89" i="1" s="1"/>
  <c r="I89" i="1" s="1"/>
  <c r="G89" i="1" l="1"/>
  <c r="J89" i="1" s="1"/>
  <c r="G90" i="1" l="1"/>
  <c r="F90" i="1"/>
  <c r="I90" i="1" s="1"/>
  <c r="J90" i="1" l="1"/>
  <c r="F91" i="1" s="1"/>
  <c r="I91" i="1" s="1"/>
  <c r="G91" i="1" l="1"/>
  <c r="J91" i="1" s="1"/>
  <c r="F92" i="1" l="1"/>
  <c r="I92" i="1" s="1"/>
  <c r="G92" i="1"/>
  <c r="J92" i="1" l="1"/>
  <c r="G93" i="1" s="1"/>
  <c r="F93" i="1" l="1"/>
  <c r="I93" i="1" s="1"/>
  <c r="J93" i="1" s="1"/>
  <c r="F94" i="1" s="1"/>
  <c r="I94" i="1" s="1"/>
  <c r="G94" i="1" l="1"/>
  <c r="J94" i="1" s="1"/>
  <c r="F95" i="1" l="1"/>
  <c r="I95" i="1" s="1"/>
  <c r="G95" i="1"/>
  <c r="J95" i="1" l="1"/>
  <c r="G96" i="1" s="1"/>
  <c r="F96" i="1" l="1"/>
  <c r="I96" i="1" s="1"/>
  <c r="J96" i="1" s="1"/>
  <c r="G97" i="1" s="1"/>
  <c r="F97" i="1" l="1"/>
  <c r="I97" i="1" s="1"/>
  <c r="J97" i="1" s="1"/>
  <c r="F98" i="1" s="1"/>
  <c r="I98" i="1" s="1"/>
  <c r="G98" i="1" l="1"/>
  <c r="J98" i="1" s="1"/>
  <c r="F99" i="1" l="1"/>
  <c r="I99" i="1" s="1"/>
  <c r="G99" i="1"/>
  <c r="J99" i="1" l="1"/>
  <c r="G100" i="1" l="1"/>
  <c r="F100" i="1"/>
  <c r="I100" i="1" s="1"/>
  <c r="J100" i="1" s="1"/>
  <c r="G101" i="1" l="1"/>
  <c r="F101" i="1"/>
  <c r="I101" i="1" s="1"/>
  <c r="J101" i="1" l="1"/>
  <c r="F102" i="1"/>
  <c r="I102" i="1" s="1"/>
  <c r="G102" i="1"/>
  <c r="J102" i="1" l="1"/>
  <c r="G103" i="1" l="1"/>
  <c r="F103" i="1"/>
  <c r="I103" i="1" s="1"/>
  <c r="J103" i="1" s="1"/>
  <c r="G104" i="1" l="1"/>
  <c r="F104" i="1"/>
  <c r="I104" i="1" s="1"/>
  <c r="J104" i="1" s="1"/>
  <c r="G105" i="1" l="1"/>
  <c r="F105" i="1"/>
  <c r="I105" i="1" s="1"/>
  <c r="J105" i="1" s="1"/>
  <c r="G106" i="1" l="1"/>
  <c r="F106" i="1"/>
  <c r="I106" i="1" s="1"/>
  <c r="J106" i="1" l="1"/>
  <c r="G107" i="1" l="1"/>
  <c r="F107" i="1"/>
  <c r="E2" i="1" l="1"/>
  <c r="I107" i="1"/>
  <c r="J107" i="1" l="1"/>
  <c r="C1" i="1"/>
</calcChain>
</file>

<file path=xl/sharedStrings.xml><?xml version="1.0" encoding="utf-8"?>
<sst xmlns="http://schemas.openxmlformats.org/spreadsheetml/2006/main" count="22" uniqueCount="19">
  <si>
    <t>#</t>
  </si>
  <si>
    <t>Rand</t>
  </si>
  <si>
    <t>x</t>
  </si>
  <si>
    <t>Arrival</t>
  </si>
  <si>
    <t>Time</t>
  </si>
  <si>
    <t># Customers Served =</t>
  </si>
  <si>
    <t>Mean Service Rate =</t>
  </si>
  <si>
    <t>Max Wait Time =</t>
  </si>
  <si>
    <t>% Want Full Service =</t>
  </si>
  <si>
    <t>Want Full</t>
  </si>
  <si>
    <t>Service</t>
  </si>
  <si>
    <t>Service?</t>
  </si>
  <si>
    <t>Wait Too</t>
  </si>
  <si>
    <t>Long?</t>
  </si>
  <si>
    <t>Start</t>
  </si>
  <si>
    <t>Received</t>
  </si>
  <si>
    <t>Full Service</t>
  </si>
  <si>
    <t>Completion</t>
  </si>
  <si>
    <t>Percent Waited Too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</si>
</sst>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right"/>
    </xf>
    <xf numFmtId="0" fontId="0" fillId="0" borderId="1" xfId="0" applyBorder="1"/>
    <xf numFmtId="0" fontId="1" fillId="0" borderId="2" xfId="0" applyFont="1" applyBorder="1" applyAlignment="1">
      <alignment horizontal="right"/>
    </xf>
    <xf numFmtId="0" fontId="0" fillId="0" borderId="2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Waited Too Long vs. Arrival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'Coffee Shop'!$D$8:$D$107</c:f>
              <c:numCache>
                <c:formatCode>0.00</c:formatCode>
                <c:ptCount val="100"/>
                <c:pt idx="0">
                  <c:v>3.9756815192103963</c:v>
                </c:pt>
                <c:pt idx="1">
                  <c:v>5.4189343986485783</c:v>
                </c:pt>
                <c:pt idx="2">
                  <c:v>5.926569755638071</c:v>
                </c:pt>
                <c:pt idx="3">
                  <c:v>6.9786780241430391</c:v>
                </c:pt>
                <c:pt idx="4">
                  <c:v>7.0751089026688518</c:v>
                </c:pt>
                <c:pt idx="5">
                  <c:v>7.4661218275078172</c:v>
                </c:pt>
                <c:pt idx="6">
                  <c:v>8.3642308584305365</c:v>
                </c:pt>
                <c:pt idx="7">
                  <c:v>9.0642754757022459</c:v>
                </c:pt>
                <c:pt idx="8">
                  <c:v>9.0770564365380739</c:v>
                </c:pt>
                <c:pt idx="9">
                  <c:v>9.3617420448565234</c:v>
                </c:pt>
                <c:pt idx="10">
                  <c:v>9.8651161360469288</c:v>
                </c:pt>
                <c:pt idx="11">
                  <c:v>10.116719355588456</c:v>
                </c:pt>
                <c:pt idx="12">
                  <c:v>10.571757844983505</c:v>
                </c:pt>
                <c:pt idx="13">
                  <c:v>11.044702626315141</c:v>
                </c:pt>
                <c:pt idx="14">
                  <c:v>11.089178403378853</c:v>
                </c:pt>
                <c:pt idx="15">
                  <c:v>11.143305954086632</c:v>
                </c:pt>
                <c:pt idx="16">
                  <c:v>11.275609953571175</c:v>
                </c:pt>
                <c:pt idx="17">
                  <c:v>11.507677916600853</c:v>
                </c:pt>
                <c:pt idx="18">
                  <c:v>11.779945306110513</c:v>
                </c:pt>
                <c:pt idx="19">
                  <c:v>12.9902129875487</c:v>
                </c:pt>
                <c:pt idx="20">
                  <c:v>14.55675921853074</c:v>
                </c:pt>
                <c:pt idx="21">
                  <c:v>14.882880702450443</c:v>
                </c:pt>
                <c:pt idx="22">
                  <c:v>14.915149833686641</c:v>
                </c:pt>
                <c:pt idx="23">
                  <c:v>17.017723854426929</c:v>
                </c:pt>
                <c:pt idx="24">
                  <c:v>18.815542658501208</c:v>
                </c:pt>
                <c:pt idx="25">
                  <c:v>18.841373873834534</c:v>
                </c:pt>
                <c:pt idx="26">
                  <c:v>19.202210628992631</c:v>
                </c:pt>
                <c:pt idx="27">
                  <c:v>19.224773917852524</c:v>
                </c:pt>
                <c:pt idx="28">
                  <c:v>19.24626073418257</c:v>
                </c:pt>
                <c:pt idx="29">
                  <c:v>20.784890454462609</c:v>
                </c:pt>
                <c:pt idx="30">
                  <c:v>23.024954906764638</c:v>
                </c:pt>
                <c:pt idx="31">
                  <c:v>25.482209421468824</c:v>
                </c:pt>
                <c:pt idx="32">
                  <c:v>25.523790570247819</c:v>
                </c:pt>
                <c:pt idx="33">
                  <c:v>26.52880902588273</c:v>
                </c:pt>
                <c:pt idx="34">
                  <c:v>26.870361335233838</c:v>
                </c:pt>
                <c:pt idx="35">
                  <c:v>27.347027862292652</c:v>
                </c:pt>
                <c:pt idx="36">
                  <c:v>28.295901165129134</c:v>
                </c:pt>
                <c:pt idx="37">
                  <c:v>28.478843488344893</c:v>
                </c:pt>
                <c:pt idx="38">
                  <c:v>28.845513479161802</c:v>
                </c:pt>
                <c:pt idx="39">
                  <c:v>29.855122398445282</c:v>
                </c:pt>
                <c:pt idx="40">
                  <c:v>30.050193854044473</c:v>
                </c:pt>
                <c:pt idx="41">
                  <c:v>30.944583856667517</c:v>
                </c:pt>
                <c:pt idx="42">
                  <c:v>31.483615888995921</c:v>
                </c:pt>
                <c:pt idx="43">
                  <c:v>32.006213690046067</c:v>
                </c:pt>
                <c:pt idx="44">
                  <c:v>32.859302012410176</c:v>
                </c:pt>
                <c:pt idx="45">
                  <c:v>33.340718863715736</c:v>
                </c:pt>
                <c:pt idx="46">
                  <c:v>34.039016554071438</c:v>
                </c:pt>
                <c:pt idx="47">
                  <c:v>34.679717453412579</c:v>
                </c:pt>
                <c:pt idx="48">
                  <c:v>36.936181640708703</c:v>
                </c:pt>
                <c:pt idx="49">
                  <c:v>37.994857583543286</c:v>
                </c:pt>
                <c:pt idx="50">
                  <c:v>38.815578376531668</c:v>
                </c:pt>
                <c:pt idx="51">
                  <c:v>39.636495921131107</c:v>
                </c:pt>
                <c:pt idx="52">
                  <c:v>40.068756419640394</c:v>
                </c:pt>
                <c:pt idx="53">
                  <c:v>40.095263040328568</c:v>
                </c:pt>
                <c:pt idx="54">
                  <c:v>40.876565013950803</c:v>
                </c:pt>
                <c:pt idx="55">
                  <c:v>42.405619521436769</c:v>
                </c:pt>
                <c:pt idx="56">
                  <c:v>42.54749183111533</c:v>
                </c:pt>
                <c:pt idx="57">
                  <c:v>44.531695387819312</c:v>
                </c:pt>
                <c:pt idx="58">
                  <c:v>45.532751567030537</c:v>
                </c:pt>
                <c:pt idx="59">
                  <c:v>46.708304726229002</c:v>
                </c:pt>
                <c:pt idx="60">
                  <c:v>46.832644557274506</c:v>
                </c:pt>
                <c:pt idx="61">
                  <c:v>47.056202716267656</c:v>
                </c:pt>
                <c:pt idx="62">
                  <c:v>47.518444840494773</c:v>
                </c:pt>
                <c:pt idx="63">
                  <c:v>47.579014454779966</c:v>
                </c:pt>
                <c:pt idx="64">
                  <c:v>47.895896651089089</c:v>
                </c:pt>
                <c:pt idx="65">
                  <c:v>48.544675580371752</c:v>
                </c:pt>
                <c:pt idx="66">
                  <c:v>48.577684494299049</c:v>
                </c:pt>
                <c:pt idx="67">
                  <c:v>48.880949238362803</c:v>
                </c:pt>
                <c:pt idx="68">
                  <c:v>49.229947798850908</c:v>
                </c:pt>
                <c:pt idx="69">
                  <c:v>49.464835568384949</c:v>
                </c:pt>
                <c:pt idx="70">
                  <c:v>50.401631970591851</c:v>
                </c:pt>
                <c:pt idx="71">
                  <c:v>50.826735761683089</c:v>
                </c:pt>
                <c:pt idx="72">
                  <c:v>50.88330686112441</c:v>
                </c:pt>
                <c:pt idx="73">
                  <c:v>51.332115469159064</c:v>
                </c:pt>
                <c:pt idx="74">
                  <c:v>53.154996409369012</c:v>
                </c:pt>
                <c:pt idx="75">
                  <c:v>55.216200604175285</c:v>
                </c:pt>
                <c:pt idx="76">
                  <c:v>56.397476837429394</c:v>
                </c:pt>
                <c:pt idx="77">
                  <c:v>56.956595387435044</c:v>
                </c:pt>
                <c:pt idx="78">
                  <c:v>57.599794388990276</c:v>
                </c:pt>
                <c:pt idx="79">
                  <c:v>57.85184756821441</c:v>
                </c:pt>
                <c:pt idx="80">
                  <c:v>58.37684277426758</c:v>
                </c:pt>
                <c:pt idx="81">
                  <c:v>58.723253141906952</c:v>
                </c:pt>
                <c:pt idx="82">
                  <c:v>59.307049072952054</c:v>
                </c:pt>
                <c:pt idx="83">
                  <c:v>59.464820121697514</c:v>
                </c:pt>
                <c:pt idx="84">
                  <c:v>60.06777389663128</c:v>
                </c:pt>
                <c:pt idx="85">
                  <c:v>62.094785463806694</c:v>
                </c:pt>
                <c:pt idx="86">
                  <c:v>62.79020314173227</c:v>
                </c:pt>
                <c:pt idx="87">
                  <c:v>63.337523096362673</c:v>
                </c:pt>
                <c:pt idx="88">
                  <c:v>63.795374321103829</c:v>
                </c:pt>
                <c:pt idx="89">
                  <c:v>65.94866304120373</c:v>
                </c:pt>
                <c:pt idx="90">
                  <c:v>69.789778307135251</c:v>
                </c:pt>
                <c:pt idx="91">
                  <c:v>71.254200757681417</c:v>
                </c:pt>
                <c:pt idx="92">
                  <c:v>72.452601053793558</c:v>
                </c:pt>
                <c:pt idx="93">
                  <c:v>73.359054194776064</c:v>
                </c:pt>
                <c:pt idx="94">
                  <c:v>73.978792736672176</c:v>
                </c:pt>
                <c:pt idx="95">
                  <c:v>78.408881206936755</c:v>
                </c:pt>
                <c:pt idx="96">
                  <c:v>78.550711537652546</c:v>
                </c:pt>
                <c:pt idx="97">
                  <c:v>84.087823456823912</c:v>
                </c:pt>
                <c:pt idx="98">
                  <c:v>85.131506105658502</c:v>
                </c:pt>
                <c:pt idx="99">
                  <c:v>85.47579748995507</c:v>
                </c:pt>
              </c:numCache>
            </c:numRef>
          </c:xVal>
          <c:yVal>
            <c:numRef>
              <c:f>'Coffee Shop'!$F$8:$F$107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AD-47C7-96EE-F4EB36674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85576"/>
        <c:axId val="480282952"/>
      </c:scatterChart>
      <c:valAx>
        <c:axId val="480285576"/>
        <c:scaling>
          <c:orientation val="minMax"/>
          <c:max val="8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Arrival Time in 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82952"/>
        <c:crosses val="autoZero"/>
        <c:crossBetween val="midCat"/>
      </c:valAx>
      <c:valAx>
        <c:axId val="480282952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Waited Too Long (1=Yes, 0=No)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8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</xdr:row>
          <xdr:rowOff>50800</xdr:rowOff>
        </xdr:from>
        <xdr:to>
          <xdr:col>0</xdr:col>
          <xdr:colOff>482600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18</xdr:col>
      <xdr:colOff>304800</xdr:colOff>
      <xdr:row>18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7"/>
  <sheetViews>
    <sheetView tabSelected="1" zoomScaleNormal="100" workbookViewId="0">
      <selection activeCell="J1" sqref="J1"/>
    </sheetView>
  </sheetViews>
  <sheetFormatPr baseColWidth="10" defaultColWidth="8.83203125" defaultRowHeight="15" x14ac:dyDescent="0.2"/>
  <cols>
    <col min="2" max="2" width="20.1640625" bestFit="1" customWidth="1"/>
    <col min="4" max="4" width="10.5" bestFit="1" customWidth="1"/>
    <col min="5" max="5" width="9.5" customWidth="1"/>
    <col min="7" max="7" width="10.5" bestFit="1" customWidth="1"/>
    <col min="8" max="8" width="9.5" bestFit="1" customWidth="1"/>
    <col min="9" max="9" width="11.1640625" bestFit="1" customWidth="1"/>
    <col min="10" max="10" width="11.5" bestFit="1" customWidth="1"/>
  </cols>
  <sheetData>
    <row r="1" spans="1:10" ht="45" x14ac:dyDescent="0.2">
      <c r="B1" s="1" t="s">
        <v>5</v>
      </c>
      <c r="C1" s="2">
        <f ca="1">SUM(I8:I107)</f>
        <v>60</v>
      </c>
      <c r="E1" s="9" t="s">
        <v>18</v>
      </c>
    </row>
    <row r="2" spans="1:10" x14ac:dyDescent="0.2">
      <c r="B2" s="1" t="s">
        <v>6</v>
      </c>
      <c r="C2" s="2">
        <v>1</v>
      </c>
      <c r="E2" s="6">
        <f ca="1">SUM(F8:F107)/100*100</f>
        <v>19</v>
      </c>
    </row>
    <row r="3" spans="1:10" x14ac:dyDescent="0.2">
      <c r="B3" s="1" t="s">
        <v>7</v>
      </c>
      <c r="C3" s="2">
        <v>2</v>
      </c>
    </row>
    <row r="4" spans="1:10" x14ac:dyDescent="0.2">
      <c r="B4" s="3" t="s">
        <v>8</v>
      </c>
      <c r="C4" s="4">
        <v>0.8</v>
      </c>
    </row>
    <row r="5" spans="1:10" x14ac:dyDescent="0.2">
      <c r="A5" s="5"/>
      <c r="B5" s="5"/>
      <c r="C5" s="5" t="s">
        <v>2</v>
      </c>
      <c r="D5" s="5" t="s">
        <v>3</v>
      </c>
      <c r="E5" s="5" t="s">
        <v>9</v>
      </c>
      <c r="F5" s="8" t="s">
        <v>12</v>
      </c>
      <c r="G5" s="8" t="s">
        <v>14</v>
      </c>
      <c r="H5" s="8" t="s">
        <v>10</v>
      </c>
      <c r="I5" s="8" t="s">
        <v>15</v>
      </c>
      <c r="J5" s="8" t="s">
        <v>17</v>
      </c>
    </row>
    <row r="6" spans="1:10" x14ac:dyDescent="0.2">
      <c r="A6" s="5" t="s">
        <v>0</v>
      </c>
      <c r="B6" s="5" t="s">
        <v>1</v>
      </c>
      <c r="C6" s="5"/>
      <c r="D6" s="5" t="s">
        <v>4</v>
      </c>
      <c r="E6" s="8" t="s">
        <v>11</v>
      </c>
      <c r="F6" s="8" t="s">
        <v>13</v>
      </c>
      <c r="G6" s="8" t="s">
        <v>4</v>
      </c>
      <c r="H6" s="8" t="s">
        <v>4</v>
      </c>
      <c r="I6" s="8" t="s">
        <v>16</v>
      </c>
      <c r="J6" s="8" t="s">
        <v>4</v>
      </c>
    </row>
    <row r="7" spans="1:10" x14ac:dyDescent="0.2">
      <c r="A7" s="6">
        <v>0</v>
      </c>
      <c r="B7" s="6"/>
      <c r="C7" s="6"/>
      <c r="D7" s="2"/>
      <c r="E7" s="2"/>
      <c r="F7" s="2"/>
      <c r="G7" s="2"/>
      <c r="H7" s="2"/>
      <c r="I7" s="2"/>
      <c r="J7" s="6">
        <v>0</v>
      </c>
    </row>
    <row r="8" spans="1:10" x14ac:dyDescent="0.2">
      <c r="A8" s="6">
        <v>1</v>
      </c>
      <c r="B8" s="7">
        <f ca="1">RAND()</f>
        <v>0.80668370668235079</v>
      </c>
      <c r="C8" s="7">
        <f ca="1">IF(B8&lt;0.125,SQRT(1800*B8),IF(B8&lt;0.625,60*(B8+0.125),90-SQRT(5400*(1-B8))))</f>
        <v>57.690435101733328</v>
      </c>
      <c r="D8" s="7">
        <v>3.9756815192103963</v>
      </c>
      <c r="E8" s="6">
        <f ca="1">IF(RAND()&lt;$C$4,1,0)</f>
        <v>1</v>
      </c>
      <c r="F8" s="6">
        <f ca="1">IF(AND(J7-D8&gt;$C$3,E8=1),1,0)</f>
        <v>0</v>
      </c>
      <c r="G8" s="7">
        <f>MAX(D8,J7)</f>
        <v>3.9756815192103963</v>
      </c>
      <c r="H8" s="7">
        <f ca="1">-(1/$C$2)*LN(1-RAND())</f>
        <v>0.90579872411713203</v>
      </c>
      <c r="I8" s="6">
        <f ca="1">IF(AND(E8=1,F8=0),1,0)</f>
        <v>1</v>
      </c>
      <c r="J8" s="7">
        <f ca="1">IF(I8=1,G8+H8,J7)</f>
        <v>4.8814802433275286</v>
      </c>
    </row>
    <row r="9" spans="1:10" x14ac:dyDescent="0.2">
      <c r="A9" s="6">
        <v>2</v>
      </c>
      <c r="B9" s="7">
        <f t="shared" ref="B9:B72" ca="1" si="0">RAND()</f>
        <v>9.8853220156241761E-2</v>
      </c>
      <c r="C9" s="7">
        <f t="shared" ref="C9:C72" ca="1" si="1">IF(B9&lt;0.125,SQRT(1800*B9),IF(B9&lt;0.625,60*(B9+0.125),90-SQRT(5400*(1-B9))))</f>
        <v>13.339257711028571</v>
      </c>
      <c r="D9" s="7">
        <v>5.4189343986485783</v>
      </c>
      <c r="E9" s="6">
        <f t="shared" ref="E9:E72" ca="1" si="2">IF(RAND()&lt;$C$4,1,0)</f>
        <v>0</v>
      </c>
      <c r="F9" s="6">
        <f t="shared" ref="F9:F72" ca="1" si="3">IF(AND(J8-D9&gt;$C$3,E9=1),1,0)</f>
        <v>0</v>
      </c>
      <c r="G9" s="7">
        <f t="shared" ref="G9:G72" ca="1" si="4">MAX(D9,J8)</f>
        <v>5.4189343986485783</v>
      </c>
      <c r="H9" s="7">
        <f t="shared" ref="H9:H72" ca="1" si="5">-(1/$C$2)*LN(1-RAND())</f>
        <v>9.1567249176277062E-3</v>
      </c>
      <c r="I9" s="6">
        <f t="shared" ref="I9:I72" ca="1" si="6">IF(AND(E9=1,F9=0),1,0)</f>
        <v>0</v>
      </c>
      <c r="J9" s="7">
        <f t="shared" ref="J9:J72" ca="1" si="7">IF(I9=1,G9+H9,J8)</f>
        <v>4.8814802433275286</v>
      </c>
    </row>
    <row r="10" spans="1:10" x14ac:dyDescent="0.2">
      <c r="A10" s="6">
        <v>3</v>
      </c>
      <c r="B10" s="7">
        <f t="shared" ca="1" si="0"/>
        <v>0.3443555844238454</v>
      </c>
      <c r="C10" s="7">
        <f t="shared" ca="1" si="1"/>
        <v>28.161335065430723</v>
      </c>
      <c r="D10" s="7">
        <v>5.926569755638071</v>
      </c>
      <c r="E10" s="6">
        <f t="shared" ca="1" si="2"/>
        <v>0</v>
      </c>
      <c r="F10" s="6">
        <f t="shared" ca="1" si="3"/>
        <v>0</v>
      </c>
      <c r="G10" s="7">
        <f t="shared" ca="1" si="4"/>
        <v>5.926569755638071</v>
      </c>
      <c r="H10" s="7">
        <f t="shared" ca="1" si="5"/>
        <v>2.753220710209686</v>
      </c>
      <c r="I10" s="6">
        <f t="shared" ca="1" si="6"/>
        <v>0</v>
      </c>
      <c r="J10" s="7">
        <f t="shared" ca="1" si="7"/>
        <v>4.8814802433275286</v>
      </c>
    </row>
    <row r="11" spans="1:10" x14ac:dyDescent="0.2">
      <c r="A11" s="6">
        <v>4</v>
      </c>
      <c r="B11" s="7">
        <f t="shared" ca="1" si="0"/>
        <v>0.55007500708111834</v>
      </c>
      <c r="C11" s="7">
        <f t="shared" ca="1" si="1"/>
        <v>40.504500424867103</v>
      </c>
      <c r="D11" s="7">
        <v>6.9786780241430391</v>
      </c>
      <c r="E11" s="6">
        <f t="shared" ca="1" si="2"/>
        <v>1</v>
      </c>
      <c r="F11" s="6">
        <f t="shared" ca="1" si="3"/>
        <v>0</v>
      </c>
      <c r="G11" s="7">
        <f t="shared" ca="1" si="4"/>
        <v>6.9786780241430391</v>
      </c>
      <c r="H11" s="7">
        <f t="shared" ca="1" si="5"/>
        <v>1.2747940680684864</v>
      </c>
      <c r="I11" s="6">
        <f t="shared" ca="1" si="6"/>
        <v>1</v>
      </c>
      <c r="J11" s="7">
        <f t="shared" ca="1" si="7"/>
        <v>8.2534720922115259</v>
      </c>
    </row>
    <row r="12" spans="1:10" x14ac:dyDescent="0.2">
      <c r="A12" s="6">
        <v>5</v>
      </c>
      <c r="B12" s="7">
        <f t="shared" ca="1" si="0"/>
        <v>0.96508167737736283</v>
      </c>
      <c r="C12" s="7">
        <f t="shared" ca="1" si="1"/>
        <v>76.268323403085816</v>
      </c>
      <c r="D12" s="7">
        <v>7.0751089026688518</v>
      </c>
      <c r="E12" s="6">
        <f t="shared" ca="1" si="2"/>
        <v>0</v>
      </c>
      <c r="F12" s="6">
        <f t="shared" ca="1" si="3"/>
        <v>0</v>
      </c>
      <c r="G12" s="7">
        <f t="shared" ca="1" si="4"/>
        <v>8.2534720922115259</v>
      </c>
      <c r="H12" s="7">
        <f t="shared" ca="1" si="5"/>
        <v>1.0516255908849159</v>
      </c>
      <c r="I12" s="6">
        <f t="shared" ca="1" si="6"/>
        <v>0</v>
      </c>
      <c r="J12" s="7">
        <f t="shared" ca="1" si="7"/>
        <v>8.2534720922115259</v>
      </c>
    </row>
    <row r="13" spans="1:10" x14ac:dyDescent="0.2">
      <c r="A13" s="6">
        <v>6</v>
      </c>
      <c r="B13" s="7">
        <f t="shared" ca="1" si="0"/>
        <v>0.69015984837803246</v>
      </c>
      <c r="C13" s="7">
        <f t="shared" ca="1" si="1"/>
        <v>49.096004855776926</v>
      </c>
      <c r="D13" s="7">
        <v>7.4661218275078172</v>
      </c>
      <c r="E13" s="6">
        <f t="shared" ca="1" si="2"/>
        <v>1</v>
      </c>
      <c r="F13" s="6">
        <f t="shared" ca="1" si="3"/>
        <v>0</v>
      </c>
      <c r="G13" s="7">
        <f t="shared" ca="1" si="4"/>
        <v>8.2534720922115259</v>
      </c>
      <c r="H13" s="7">
        <f t="shared" ca="1" si="5"/>
        <v>2.9033632772508609E-2</v>
      </c>
      <c r="I13" s="6">
        <f t="shared" ca="1" si="6"/>
        <v>1</v>
      </c>
      <c r="J13" s="7">
        <f t="shared" ca="1" si="7"/>
        <v>8.2825057249840341</v>
      </c>
    </row>
    <row r="14" spans="1:10" x14ac:dyDescent="0.2">
      <c r="A14" s="6">
        <v>7</v>
      </c>
      <c r="B14" s="7">
        <f t="shared" ca="1" si="0"/>
        <v>0.53046060203353951</v>
      </c>
      <c r="C14" s="7">
        <f t="shared" ca="1" si="1"/>
        <v>39.327636122012372</v>
      </c>
      <c r="D14" s="7">
        <v>8.3642308584305365</v>
      </c>
      <c r="E14" s="6">
        <f t="shared" ca="1" si="2"/>
        <v>1</v>
      </c>
      <c r="F14" s="6">
        <f t="shared" ca="1" si="3"/>
        <v>0</v>
      </c>
      <c r="G14" s="7">
        <f t="shared" ca="1" si="4"/>
        <v>8.3642308584305365</v>
      </c>
      <c r="H14" s="7">
        <f t="shared" ca="1" si="5"/>
        <v>1.8583579179260155</v>
      </c>
      <c r="I14" s="6">
        <f t="shared" ca="1" si="6"/>
        <v>1</v>
      </c>
      <c r="J14" s="7">
        <f t="shared" ca="1" si="7"/>
        <v>10.222588776356552</v>
      </c>
    </row>
    <row r="15" spans="1:10" x14ac:dyDescent="0.2">
      <c r="A15" s="6">
        <v>8</v>
      </c>
      <c r="B15" s="7">
        <f t="shared" ca="1" si="0"/>
        <v>0.87194930226613521</v>
      </c>
      <c r="C15" s="7">
        <f t="shared" ca="1" si="1"/>
        <v>63.704111200363087</v>
      </c>
      <c r="D15" s="7">
        <v>9.0642754757022459</v>
      </c>
      <c r="E15" s="6">
        <f t="shared" ca="1" si="2"/>
        <v>1</v>
      </c>
      <c r="F15" s="6">
        <f t="shared" ca="1" si="3"/>
        <v>0</v>
      </c>
      <c r="G15" s="7">
        <f t="shared" ca="1" si="4"/>
        <v>10.222588776356552</v>
      </c>
      <c r="H15" s="7">
        <f t="shared" ca="1" si="5"/>
        <v>1.8754663381870895</v>
      </c>
      <c r="I15" s="6">
        <f t="shared" ca="1" si="6"/>
        <v>1</v>
      </c>
      <c r="J15" s="7">
        <f t="shared" ca="1" si="7"/>
        <v>12.098055114543643</v>
      </c>
    </row>
    <row r="16" spans="1:10" x14ac:dyDescent="0.2">
      <c r="A16" s="6">
        <v>9</v>
      </c>
      <c r="B16" s="7">
        <f t="shared" ca="1" si="0"/>
        <v>0.35141001399632821</v>
      </c>
      <c r="C16" s="7">
        <f t="shared" ca="1" si="1"/>
        <v>28.584600839779693</v>
      </c>
      <c r="D16" s="7">
        <v>9.0770564365380739</v>
      </c>
      <c r="E16" s="6">
        <f t="shared" ca="1" si="2"/>
        <v>1</v>
      </c>
      <c r="F16" s="6">
        <f t="shared" ca="1" si="3"/>
        <v>1</v>
      </c>
      <c r="G16" s="7">
        <f t="shared" ca="1" si="4"/>
        <v>12.098055114543643</v>
      </c>
      <c r="H16" s="7">
        <f t="shared" ca="1" si="5"/>
        <v>0.1468746139393175</v>
      </c>
      <c r="I16" s="6">
        <f t="shared" ca="1" si="6"/>
        <v>0</v>
      </c>
      <c r="J16" s="7">
        <f t="shared" ca="1" si="7"/>
        <v>12.098055114543643</v>
      </c>
    </row>
    <row r="17" spans="1:10" x14ac:dyDescent="0.2">
      <c r="A17" s="6">
        <v>10</v>
      </c>
      <c r="B17" s="7">
        <f t="shared" ca="1" si="0"/>
        <v>0.80143826899108372</v>
      </c>
      <c r="C17" s="7">
        <f t="shared" ca="1" si="1"/>
        <v>57.255025615399425</v>
      </c>
      <c r="D17" s="7">
        <v>9.3617420448565234</v>
      </c>
      <c r="E17" s="6">
        <f t="shared" ca="1" si="2"/>
        <v>1</v>
      </c>
      <c r="F17" s="6">
        <f t="shared" ca="1" si="3"/>
        <v>1</v>
      </c>
      <c r="G17" s="7">
        <f t="shared" ca="1" si="4"/>
        <v>12.098055114543643</v>
      </c>
      <c r="H17" s="7">
        <f t="shared" ca="1" si="5"/>
        <v>0.42324384267024506</v>
      </c>
      <c r="I17" s="6">
        <f t="shared" ca="1" si="6"/>
        <v>0</v>
      </c>
      <c r="J17" s="7">
        <f t="shared" ca="1" si="7"/>
        <v>12.098055114543643</v>
      </c>
    </row>
    <row r="18" spans="1:10" x14ac:dyDescent="0.2">
      <c r="A18" s="6">
        <v>11</v>
      </c>
      <c r="B18" s="7">
        <f t="shared" ca="1" si="0"/>
        <v>0.56167962082058309</v>
      </c>
      <c r="C18" s="7">
        <f t="shared" ca="1" si="1"/>
        <v>41.200777249234989</v>
      </c>
      <c r="D18" s="7">
        <v>9.8651161360469288</v>
      </c>
      <c r="E18" s="6">
        <f t="shared" ca="1" si="2"/>
        <v>1</v>
      </c>
      <c r="F18" s="6">
        <f t="shared" ca="1" si="3"/>
        <v>1</v>
      </c>
      <c r="G18" s="7">
        <f t="shared" ca="1" si="4"/>
        <v>12.098055114543643</v>
      </c>
      <c r="H18" s="7">
        <f t="shared" ca="1" si="5"/>
        <v>5.016421728862696E-2</v>
      </c>
      <c r="I18" s="6">
        <f t="shared" ca="1" si="6"/>
        <v>0</v>
      </c>
      <c r="J18" s="7">
        <f t="shared" ca="1" si="7"/>
        <v>12.098055114543643</v>
      </c>
    </row>
    <row r="19" spans="1:10" x14ac:dyDescent="0.2">
      <c r="A19" s="6">
        <v>12</v>
      </c>
      <c r="B19" s="7">
        <f t="shared" ca="1" si="0"/>
        <v>0.35464467912498998</v>
      </c>
      <c r="C19" s="7">
        <f t="shared" ca="1" si="1"/>
        <v>28.778680747499401</v>
      </c>
      <c r="D19" s="7">
        <v>10.116719355588456</v>
      </c>
      <c r="E19" s="6">
        <f t="shared" ca="1" si="2"/>
        <v>1</v>
      </c>
      <c r="F19" s="6">
        <f t="shared" ca="1" si="3"/>
        <v>0</v>
      </c>
      <c r="G19" s="7">
        <f t="shared" ca="1" si="4"/>
        <v>12.098055114543643</v>
      </c>
      <c r="H19" s="7">
        <f t="shared" ca="1" si="5"/>
        <v>9.9255245534221742E-2</v>
      </c>
      <c r="I19" s="6">
        <f t="shared" ca="1" si="6"/>
        <v>1</v>
      </c>
      <c r="J19" s="7">
        <f t="shared" ca="1" si="7"/>
        <v>12.197310360077864</v>
      </c>
    </row>
    <row r="20" spans="1:10" x14ac:dyDescent="0.2">
      <c r="A20" s="6">
        <v>13</v>
      </c>
      <c r="B20" s="7">
        <f t="shared" ca="1" si="0"/>
        <v>0.35521863736471693</v>
      </c>
      <c r="C20" s="7">
        <f t="shared" ca="1" si="1"/>
        <v>28.813118241883014</v>
      </c>
      <c r="D20" s="7">
        <v>10.571757844983505</v>
      </c>
      <c r="E20" s="6">
        <f t="shared" ca="1" si="2"/>
        <v>0</v>
      </c>
      <c r="F20" s="6">
        <f t="shared" ca="1" si="3"/>
        <v>0</v>
      </c>
      <c r="G20" s="7">
        <f t="shared" ca="1" si="4"/>
        <v>12.197310360077864</v>
      </c>
      <c r="H20" s="7">
        <f t="shared" ca="1" si="5"/>
        <v>0.40742570628776165</v>
      </c>
      <c r="I20" s="6">
        <f t="shared" ca="1" si="6"/>
        <v>0</v>
      </c>
      <c r="J20" s="7">
        <f t="shared" ca="1" si="7"/>
        <v>12.197310360077864</v>
      </c>
    </row>
    <row r="21" spans="1:10" x14ac:dyDescent="0.2">
      <c r="A21" s="6">
        <v>14</v>
      </c>
      <c r="B21" s="7">
        <f t="shared" ca="1" si="0"/>
        <v>0.83082065031439356</v>
      </c>
      <c r="C21" s="7">
        <f t="shared" ca="1" si="1"/>
        <v>59.774704496030566</v>
      </c>
      <c r="D21" s="7">
        <v>11.044702626315141</v>
      </c>
      <c r="E21" s="6">
        <f t="shared" ca="1" si="2"/>
        <v>0</v>
      </c>
      <c r="F21" s="6">
        <f t="shared" ca="1" si="3"/>
        <v>0</v>
      </c>
      <c r="G21" s="7">
        <f t="shared" ca="1" si="4"/>
        <v>12.197310360077864</v>
      </c>
      <c r="H21" s="7">
        <f t="shared" ca="1" si="5"/>
        <v>0.21749838116394551</v>
      </c>
      <c r="I21" s="6">
        <f t="shared" ca="1" si="6"/>
        <v>0</v>
      </c>
      <c r="J21" s="7">
        <f t="shared" ca="1" si="7"/>
        <v>12.197310360077864</v>
      </c>
    </row>
    <row r="22" spans="1:10" x14ac:dyDescent="0.2">
      <c r="A22" s="6">
        <v>15</v>
      </c>
      <c r="B22" s="7">
        <f t="shared" ca="1" si="0"/>
        <v>9.4445003267729088E-4</v>
      </c>
      <c r="C22" s="7">
        <f t="shared" ca="1" si="1"/>
        <v>1.3038443384158722</v>
      </c>
      <c r="D22" s="7">
        <v>11.089178403378853</v>
      </c>
      <c r="E22" s="6">
        <f t="shared" ca="1" si="2"/>
        <v>1</v>
      </c>
      <c r="F22" s="6">
        <f t="shared" ca="1" si="3"/>
        <v>0</v>
      </c>
      <c r="G22" s="7">
        <f t="shared" ca="1" si="4"/>
        <v>12.197310360077864</v>
      </c>
      <c r="H22" s="7">
        <f t="shared" ca="1" si="5"/>
        <v>0.49877962984468899</v>
      </c>
      <c r="I22" s="6">
        <f t="shared" ca="1" si="6"/>
        <v>1</v>
      </c>
      <c r="J22" s="7">
        <f t="shared" ca="1" si="7"/>
        <v>12.696089989922553</v>
      </c>
    </row>
    <row r="23" spans="1:10" x14ac:dyDescent="0.2">
      <c r="A23" s="6">
        <v>16</v>
      </c>
      <c r="B23" s="7">
        <f t="shared" ca="1" si="0"/>
        <v>0.6601022469037553</v>
      </c>
      <c r="C23" s="7">
        <f t="shared" ca="1" si="1"/>
        <v>47.157872756832894</v>
      </c>
      <c r="D23" s="7">
        <v>11.143305954086632</v>
      </c>
      <c r="E23" s="6">
        <f t="shared" ca="1" si="2"/>
        <v>0</v>
      </c>
      <c r="F23" s="6">
        <f t="shared" ca="1" si="3"/>
        <v>0</v>
      </c>
      <c r="G23" s="7">
        <f t="shared" ca="1" si="4"/>
        <v>12.696089989922553</v>
      </c>
      <c r="H23" s="7">
        <f t="shared" ca="1" si="5"/>
        <v>1.7131630746738142</v>
      </c>
      <c r="I23" s="6">
        <f t="shared" ca="1" si="6"/>
        <v>0</v>
      </c>
      <c r="J23" s="7">
        <f t="shared" ca="1" si="7"/>
        <v>12.696089989922553</v>
      </c>
    </row>
    <row r="24" spans="1:10" x14ac:dyDescent="0.2">
      <c r="A24" s="6">
        <v>17</v>
      </c>
      <c r="B24" s="7">
        <f t="shared" ca="1" si="0"/>
        <v>0.79186584819079453</v>
      </c>
      <c r="C24" s="7">
        <f t="shared" ca="1" si="1"/>
        <v>56.475017975102361</v>
      </c>
      <c r="D24" s="7">
        <v>11.275609953571175</v>
      </c>
      <c r="E24" s="6">
        <f t="shared" ca="1" si="2"/>
        <v>1</v>
      </c>
      <c r="F24" s="6">
        <f t="shared" ca="1" si="3"/>
        <v>0</v>
      </c>
      <c r="G24" s="7">
        <f t="shared" ca="1" si="4"/>
        <v>12.696089989922553</v>
      </c>
      <c r="H24" s="7">
        <f t="shared" ca="1" si="5"/>
        <v>1.0604295524540228</v>
      </c>
      <c r="I24" s="6">
        <f t="shared" ca="1" si="6"/>
        <v>1</v>
      </c>
      <c r="J24" s="7">
        <f t="shared" ca="1" si="7"/>
        <v>13.756519542376576</v>
      </c>
    </row>
    <row r="25" spans="1:10" x14ac:dyDescent="0.2">
      <c r="A25" s="6">
        <v>18</v>
      </c>
      <c r="B25" s="7">
        <f t="shared" ca="1" si="0"/>
        <v>0.36965464071321152</v>
      </c>
      <c r="C25" s="7">
        <f t="shared" ca="1" si="1"/>
        <v>29.679278442792693</v>
      </c>
      <c r="D25" s="7">
        <v>11.507677916600853</v>
      </c>
      <c r="E25" s="6">
        <f t="shared" ca="1" si="2"/>
        <v>1</v>
      </c>
      <c r="F25" s="6">
        <f t="shared" ca="1" si="3"/>
        <v>1</v>
      </c>
      <c r="G25" s="7">
        <f t="shared" ca="1" si="4"/>
        <v>13.756519542376576</v>
      </c>
      <c r="H25" s="7">
        <f t="shared" ca="1" si="5"/>
        <v>8.6242911704501185E-2</v>
      </c>
      <c r="I25" s="6">
        <f t="shared" ca="1" si="6"/>
        <v>0</v>
      </c>
      <c r="J25" s="7">
        <f t="shared" ca="1" si="7"/>
        <v>13.756519542376576</v>
      </c>
    </row>
    <row r="26" spans="1:10" x14ac:dyDescent="0.2">
      <c r="A26" s="6">
        <v>19</v>
      </c>
      <c r="B26" s="7">
        <f t="shared" ca="1" si="0"/>
        <v>0.75793753622108029</v>
      </c>
      <c r="C26" s="7">
        <f t="shared" ca="1" si="1"/>
        <v>53.845646121024835</v>
      </c>
      <c r="D26" s="7">
        <v>11.779945306110513</v>
      </c>
      <c r="E26" s="6">
        <f t="shared" ca="1" si="2"/>
        <v>1</v>
      </c>
      <c r="F26" s="6">
        <f t="shared" ca="1" si="3"/>
        <v>0</v>
      </c>
      <c r="G26" s="7">
        <f t="shared" ca="1" si="4"/>
        <v>13.756519542376576</v>
      </c>
      <c r="H26" s="7">
        <f t="shared" ca="1" si="5"/>
        <v>1.0054808113093865</v>
      </c>
      <c r="I26" s="6">
        <f t="shared" ca="1" si="6"/>
        <v>1</v>
      </c>
      <c r="J26" s="7">
        <f t="shared" ca="1" si="7"/>
        <v>14.762000353685963</v>
      </c>
    </row>
    <row r="27" spans="1:10" x14ac:dyDescent="0.2">
      <c r="A27" s="6">
        <v>20</v>
      </c>
      <c r="B27" s="7">
        <f t="shared" ca="1" si="0"/>
        <v>5.3260162185673199E-2</v>
      </c>
      <c r="C27" s="7">
        <f t="shared" ca="1" si="1"/>
        <v>9.7912354651602449</v>
      </c>
      <c r="D27" s="7">
        <v>12.9902129875487</v>
      </c>
      <c r="E27" s="6">
        <f t="shared" ca="1" si="2"/>
        <v>1</v>
      </c>
      <c r="F27" s="6">
        <f t="shared" ca="1" si="3"/>
        <v>0</v>
      </c>
      <c r="G27" s="7">
        <f t="shared" ca="1" si="4"/>
        <v>14.762000353685963</v>
      </c>
      <c r="H27" s="7">
        <f t="shared" ca="1" si="5"/>
        <v>1.8804608198033159</v>
      </c>
      <c r="I27" s="6">
        <f t="shared" ca="1" si="6"/>
        <v>1</v>
      </c>
      <c r="J27" s="7">
        <f t="shared" ca="1" si="7"/>
        <v>16.642461173489277</v>
      </c>
    </row>
    <row r="28" spans="1:10" x14ac:dyDescent="0.2">
      <c r="A28" s="6">
        <v>21</v>
      </c>
      <c r="B28" s="7">
        <f t="shared" ca="1" si="0"/>
        <v>0.28291788116679528</v>
      </c>
      <c r="C28" s="7">
        <f t="shared" ca="1" si="1"/>
        <v>24.475072870007718</v>
      </c>
      <c r="D28" s="7">
        <v>14.55675921853074</v>
      </c>
      <c r="E28" s="6">
        <f t="shared" ca="1" si="2"/>
        <v>1</v>
      </c>
      <c r="F28" s="6">
        <f t="shared" ca="1" si="3"/>
        <v>1</v>
      </c>
      <c r="G28" s="7">
        <f t="shared" ca="1" si="4"/>
        <v>16.642461173489277</v>
      </c>
      <c r="H28" s="7">
        <f t="shared" ca="1" si="5"/>
        <v>0.16732490545649673</v>
      </c>
      <c r="I28" s="6">
        <f t="shared" ca="1" si="6"/>
        <v>0</v>
      </c>
      <c r="J28" s="7">
        <f t="shared" ca="1" si="7"/>
        <v>16.642461173489277</v>
      </c>
    </row>
    <row r="29" spans="1:10" x14ac:dyDescent="0.2">
      <c r="A29" s="6">
        <v>22</v>
      </c>
      <c r="B29" s="7">
        <f t="shared" ca="1" si="0"/>
        <v>0.61819477266444545</v>
      </c>
      <c r="C29" s="7">
        <f t="shared" ca="1" si="1"/>
        <v>44.591686359866728</v>
      </c>
      <c r="D29" s="7">
        <v>14.882880702450443</v>
      </c>
      <c r="E29" s="6">
        <f t="shared" ca="1" si="2"/>
        <v>1</v>
      </c>
      <c r="F29" s="6">
        <f t="shared" ca="1" si="3"/>
        <v>0</v>
      </c>
      <c r="G29" s="7">
        <f t="shared" ca="1" si="4"/>
        <v>16.642461173489277</v>
      </c>
      <c r="H29" s="7">
        <f t="shared" ca="1" si="5"/>
        <v>4.1336069535150397</v>
      </c>
      <c r="I29" s="6">
        <f t="shared" ca="1" si="6"/>
        <v>1</v>
      </c>
      <c r="J29" s="7">
        <f t="shared" ca="1" si="7"/>
        <v>20.776068127004315</v>
      </c>
    </row>
    <row r="30" spans="1:10" x14ac:dyDescent="0.2">
      <c r="A30" s="6">
        <v>23</v>
      </c>
      <c r="B30" s="7">
        <f t="shared" ca="1" si="0"/>
        <v>0.54969169872019508</v>
      </c>
      <c r="C30" s="7">
        <f t="shared" ca="1" si="1"/>
        <v>40.481501923211702</v>
      </c>
      <c r="D30" s="7">
        <v>14.915149833686641</v>
      </c>
      <c r="E30" s="6">
        <f t="shared" ca="1" si="2"/>
        <v>1</v>
      </c>
      <c r="F30" s="6">
        <f t="shared" ca="1" si="3"/>
        <v>1</v>
      </c>
      <c r="G30" s="7">
        <f t="shared" ca="1" si="4"/>
        <v>20.776068127004315</v>
      </c>
      <c r="H30" s="7">
        <f t="shared" ca="1" si="5"/>
        <v>2.0543630785753924</v>
      </c>
      <c r="I30" s="6">
        <f t="shared" ca="1" si="6"/>
        <v>0</v>
      </c>
      <c r="J30" s="7">
        <f t="shared" ca="1" si="7"/>
        <v>20.776068127004315</v>
      </c>
    </row>
    <row r="31" spans="1:10" x14ac:dyDescent="0.2">
      <c r="A31" s="6">
        <v>24</v>
      </c>
      <c r="B31" s="7">
        <f t="shared" ca="1" si="0"/>
        <v>0.12578624676406736</v>
      </c>
      <c r="C31" s="7">
        <f t="shared" ca="1" si="1"/>
        <v>15.04717480584404</v>
      </c>
      <c r="D31" s="7">
        <v>17.017723854426929</v>
      </c>
      <c r="E31" s="6">
        <f t="shared" ca="1" si="2"/>
        <v>1</v>
      </c>
      <c r="F31" s="6">
        <f t="shared" ca="1" si="3"/>
        <v>1</v>
      </c>
      <c r="G31" s="7">
        <f t="shared" ca="1" si="4"/>
        <v>20.776068127004315</v>
      </c>
      <c r="H31" s="7">
        <f t="shared" ca="1" si="5"/>
        <v>3.5382651332458735E-2</v>
      </c>
      <c r="I31" s="6">
        <f t="shared" ca="1" si="6"/>
        <v>0</v>
      </c>
      <c r="J31" s="7">
        <f t="shared" ca="1" si="7"/>
        <v>20.776068127004315</v>
      </c>
    </row>
    <row r="32" spans="1:10" x14ac:dyDescent="0.2">
      <c r="A32" s="6">
        <v>25</v>
      </c>
      <c r="B32" s="7">
        <f t="shared" ca="1" si="0"/>
        <v>0.11051382790934683</v>
      </c>
      <c r="C32" s="7">
        <f t="shared" ca="1" si="1"/>
        <v>14.104073533445019</v>
      </c>
      <c r="D32" s="7">
        <v>18.815542658501208</v>
      </c>
      <c r="E32" s="6">
        <f t="shared" ca="1" si="2"/>
        <v>0</v>
      </c>
      <c r="F32" s="6">
        <f t="shared" ca="1" si="3"/>
        <v>0</v>
      </c>
      <c r="G32" s="7">
        <f t="shared" ca="1" si="4"/>
        <v>20.776068127004315</v>
      </c>
      <c r="H32" s="7">
        <f t="shared" ca="1" si="5"/>
        <v>0.80475125986272589</v>
      </c>
      <c r="I32" s="6">
        <f t="shared" ca="1" si="6"/>
        <v>0</v>
      </c>
      <c r="J32" s="7">
        <f t="shared" ca="1" si="7"/>
        <v>20.776068127004315</v>
      </c>
    </row>
    <row r="33" spans="1:10" x14ac:dyDescent="0.2">
      <c r="A33" s="6">
        <v>26</v>
      </c>
      <c r="B33" s="7">
        <f t="shared" ca="1" si="0"/>
        <v>0.10709543704924029</v>
      </c>
      <c r="C33" s="7">
        <f t="shared" ca="1" si="1"/>
        <v>13.884227983169698</v>
      </c>
      <c r="D33" s="7">
        <v>18.841373873834534</v>
      </c>
      <c r="E33" s="6">
        <f t="shared" ca="1" si="2"/>
        <v>1</v>
      </c>
      <c r="F33" s="6">
        <f t="shared" ca="1" si="3"/>
        <v>0</v>
      </c>
      <c r="G33" s="7">
        <f t="shared" ca="1" si="4"/>
        <v>20.776068127004315</v>
      </c>
      <c r="H33" s="7">
        <f t="shared" ca="1" si="5"/>
        <v>0.26203491042424726</v>
      </c>
      <c r="I33" s="6">
        <f t="shared" ca="1" si="6"/>
        <v>1</v>
      </c>
      <c r="J33" s="7">
        <f t="shared" ca="1" si="7"/>
        <v>21.038103037428563</v>
      </c>
    </row>
    <row r="34" spans="1:10" x14ac:dyDescent="0.2">
      <c r="A34" s="6">
        <v>27</v>
      </c>
      <c r="B34" s="7">
        <f t="shared" ca="1" si="0"/>
        <v>0.34302367135005241</v>
      </c>
      <c r="C34" s="7">
        <f t="shared" ca="1" si="1"/>
        <v>28.081420281003144</v>
      </c>
      <c r="D34" s="7">
        <v>19.202210628992631</v>
      </c>
      <c r="E34" s="6">
        <f t="shared" ca="1" si="2"/>
        <v>1</v>
      </c>
      <c r="F34" s="6">
        <f t="shared" ca="1" si="3"/>
        <v>0</v>
      </c>
      <c r="G34" s="7">
        <f t="shared" ca="1" si="4"/>
        <v>21.038103037428563</v>
      </c>
      <c r="H34" s="7">
        <f t="shared" ca="1" si="5"/>
        <v>1.3449163381234921</v>
      </c>
      <c r="I34" s="6">
        <f t="shared" ca="1" si="6"/>
        <v>1</v>
      </c>
      <c r="J34" s="7">
        <f t="shared" ca="1" si="7"/>
        <v>22.383019375552056</v>
      </c>
    </row>
    <row r="35" spans="1:10" x14ac:dyDescent="0.2">
      <c r="A35" s="6">
        <v>28</v>
      </c>
      <c r="B35" s="7">
        <f t="shared" ca="1" si="0"/>
        <v>0.80106633005295169</v>
      </c>
      <c r="C35" s="7">
        <f t="shared" ca="1" si="1"/>
        <v>57.224371589333927</v>
      </c>
      <c r="D35" s="7">
        <v>19.224773917852524</v>
      </c>
      <c r="E35" s="6">
        <f t="shared" ca="1" si="2"/>
        <v>1</v>
      </c>
      <c r="F35" s="6">
        <f t="shared" ca="1" si="3"/>
        <v>1</v>
      </c>
      <c r="G35" s="7">
        <f t="shared" ca="1" si="4"/>
        <v>22.383019375552056</v>
      </c>
      <c r="H35" s="7">
        <f t="shared" ca="1" si="5"/>
        <v>7.5418367703459138E-2</v>
      </c>
      <c r="I35" s="6">
        <f t="shared" ca="1" si="6"/>
        <v>0</v>
      </c>
      <c r="J35" s="7">
        <f t="shared" ca="1" si="7"/>
        <v>22.383019375552056</v>
      </c>
    </row>
    <row r="36" spans="1:10" x14ac:dyDescent="0.2">
      <c r="A36" s="6">
        <v>29</v>
      </c>
      <c r="B36" s="7">
        <f t="shared" ca="1" si="0"/>
        <v>0.46497459187804513</v>
      </c>
      <c r="C36" s="7">
        <f t="shared" ca="1" si="1"/>
        <v>35.398475512682708</v>
      </c>
      <c r="D36" s="7">
        <v>19.24626073418257</v>
      </c>
      <c r="E36" s="6">
        <f t="shared" ca="1" si="2"/>
        <v>1</v>
      </c>
      <c r="F36" s="6">
        <f t="shared" ca="1" si="3"/>
        <v>1</v>
      </c>
      <c r="G36" s="7">
        <f t="shared" ca="1" si="4"/>
        <v>22.383019375552056</v>
      </c>
      <c r="H36" s="7">
        <f t="shared" ca="1" si="5"/>
        <v>2.0754406014281015</v>
      </c>
      <c r="I36" s="6">
        <f t="shared" ca="1" si="6"/>
        <v>0</v>
      </c>
      <c r="J36" s="7">
        <f t="shared" ca="1" si="7"/>
        <v>22.383019375552056</v>
      </c>
    </row>
    <row r="37" spans="1:10" x14ac:dyDescent="0.2">
      <c r="A37" s="6">
        <v>30</v>
      </c>
      <c r="B37" s="7">
        <f t="shared" ca="1" si="0"/>
        <v>0.17871507630835837</v>
      </c>
      <c r="C37" s="7">
        <f t="shared" ca="1" si="1"/>
        <v>18.222904578501502</v>
      </c>
      <c r="D37" s="7">
        <v>20.784890454462609</v>
      </c>
      <c r="E37" s="6">
        <f t="shared" ca="1" si="2"/>
        <v>1</v>
      </c>
      <c r="F37" s="6">
        <f t="shared" ca="1" si="3"/>
        <v>0</v>
      </c>
      <c r="G37" s="7">
        <f t="shared" ca="1" si="4"/>
        <v>22.383019375552056</v>
      </c>
      <c r="H37" s="7">
        <f t="shared" ca="1" si="5"/>
        <v>2.5086224242301904</v>
      </c>
      <c r="I37" s="6">
        <f t="shared" ca="1" si="6"/>
        <v>1</v>
      </c>
      <c r="J37" s="7">
        <f t="shared" ca="1" si="7"/>
        <v>24.891641799782246</v>
      </c>
    </row>
    <row r="38" spans="1:10" x14ac:dyDescent="0.2">
      <c r="A38" s="6">
        <v>31</v>
      </c>
      <c r="B38" s="7">
        <f t="shared" ca="1" si="0"/>
        <v>0.78948985740819588</v>
      </c>
      <c r="C38" s="7">
        <f t="shared" ca="1" si="1"/>
        <v>56.284205926661876</v>
      </c>
      <c r="D38" s="7">
        <v>23.024954906764638</v>
      </c>
      <c r="E38" s="6">
        <f t="shared" ca="1" si="2"/>
        <v>1</v>
      </c>
      <c r="F38" s="6">
        <f t="shared" ca="1" si="3"/>
        <v>0</v>
      </c>
      <c r="G38" s="7">
        <f t="shared" ca="1" si="4"/>
        <v>24.891641799782246</v>
      </c>
      <c r="H38" s="7">
        <f t="shared" ca="1" si="5"/>
        <v>0.43117651115541006</v>
      </c>
      <c r="I38" s="6">
        <f t="shared" ca="1" si="6"/>
        <v>1</v>
      </c>
      <c r="J38" s="7">
        <f t="shared" ca="1" si="7"/>
        <v>25.322818310937656</v>
      </c>
    </row>
    <row r="39" spans="1:10" x14ac:dyDescent="0.2">
      <c r="A39" s="6">
        <v>32</v>
      </c>
      <c r="B39" s="7">
        <f t="shared" ca="1" si="0"/>
        <v>0.20325981335166821</v>
      </c>
      <c r="C39" s="7">
        <f t="shared" ca="1" si="1"/>
        <v>19.695588801100094</v>
      </c>
      <c r="D39" s="7">
        <v>25.482209421468824</v>
      </c>
      <c r="E39" s="6">
        <f t="shared" ca="1" si="2"/>
        <v>1</v>
      </c>
      <c r="F39" s="6">
        <f t="shared" ca="1" si="3"/>
        <v>0</v>
      </c>
      <c r="G39" s="7">
        <f t="shared" ca="1" si="4"/>
        <v>25.482209421468824</v>
      </c>
      <c r="H39" s="7">
        <f t="shared" ca="1" si="5"/>
        <v>1.8364404730140473</v>
      </c>
      <c r="I39" s="6">
        <f t="shared" ca="1" si="6"/>
        <v>1</v>
      </c>
      <c r="J39" s="7">
        <f t="shared" ca="1" si="7"/>
        <v>27.318649894482871</v>
      </c>
    </row>
    <row r="40" spans="1:10" x14ac:dyDescent="0.2">
      <c r="A40" s="6">
        <v>33</v>
      </c>
      <c r="B40" s="7">
        <f t="shared" ca="1" si="0"/>
        <v>0.63863943606913809</v>
      </c>
      <c r="C40" s="7">
        <f t="shared" ca="1" si="1"/>
        <v>45.825946017750937</v>
      </c>
      <c r="D40" s="7">
        <v>25.523790570247819</v>
      </c>
      <c r="E40" s="6">
        <f t="shared" ca="1" si="2"/>
        <v>1</v>
      </c>
      <c r="F40" s="6">
        <f t="shared" ca="1" si="3"/>
        <v>0</v>
      </c>
      <c r="G40" s="7">
        <f t="shared" ca="1" si="4"/>
        <v>27.318649894482871</v>
      </c>
      <c r="H40" s="7">
        <f t="shared" ca="1" si="5"/>
        <v>0.17685626089768922</v>
      </c>
      <c r="I40" s="6">
        <f t="shared" ca="1" si="6"/>
        <v>1</v>
      </c>
      <c r="J40" s="7">
        <f t="shared" ca="1" si="7"/>
        <v>27.495506155380561</v>
      </c>
    </row>
    <row r="41" spans="1:10" x14ac:dyDescent="0.2">
      <c r="A41" s="6">
        <v>34</v>
      </c>
      <c r="B41" s="7">
        <f t="shared" ca="1" si="0"/>
        <v>0.35279848305370498</v>
      </c>
      <c r="C41" s="7">
        <f t="shared" ca="1" si="1"/>
        <v>28.667908983222297</v>
      </c>
      <c r="D41" s="7">
        <v>26.52880902588273</v>
      </c>
      <c r="E41" s="6">
        <f t="shared" ca="1" si="2"/>
        <v>1</v>
      </c>
      <c r="F41" s="6">
        <f t="shared" ca="1" si="3"/>
        <v>0</v>
      </c>
      <c r="G41" s="7">
        <f t="shared" ca="1" si="4"/>
        <v>27.495506155380561</v>
      </c>
      <c r="H41" s="7">
        <f t="shared" ca="1" si="5"/>
        <v>0.36036363652051401</v>
      </c>
      <c r="I41" s="6">
        <f t="shared" ca="1" si="6"/>
        <v>1</v>
      </c>
      <c r="J41" s="7">
        <f t="shared" ca="1" si="7"/>
        <v>27.855869791901075</v>
      </c>
    </row>
    <row r="42" spans="1:10" x14ac:dyDescent="0.2">
      <c r="A42" s="6">
        <v>35</v>
      </c>
      <c r="B42" s="7">
        <f t="shared" ca="1" si="0"/>
        <v>0.61071895283560262</v>
      </c>
      <c r="C42" s="7">
        <f t="shared" ca="1" si="1"/>
        <v>44.143137170136157</v>
      </c>
      <c r="D42" s="7">
        <v>26.870361335233838</v>
      </c>
      <c r="E42" s="6">
        <f t="shared" ca="1" si="2"/>
        <v>1</v>
      </c>
      <c r="F42" s="6">
        <f t="shared" ca="1" si="3"/>
        <v>0</v>
      </c>
      <c r="G42" s="7">
        <f t="shared" ca="1" si="4"/>
        <v>27.855869791901075</v>
      </c>
      <c r="H42" s="7">
        <f t="shared" ca="1" si="5"/>
        <v>4.0747544785834835</v>
      </c>
      <c r="I42" s="6">
        <f t="shared" ca="1" si="6"/>
        <v>1</v>
      </c>
      <c r="J42" s="7">
        <f t="shared" ca="1" si="7"/>
        <v>31.930624270484557</v>
      </c>
    </row>
    <row r="43" spans="1:10" x14ac:dyDescent="0.2">
      <c r="A43" s="6">
        <v>36</v>
      </c>
      <c r="B43" s="7">
        <f t="shared" ca="1" si="0"/>
        <v>0.9790308750156782</v>
      </c>
      <c r="C43" s="7">
        <f t="shared" ca="1" si="1"/>
        <v>79.358887515144971</v>
      </c>
      <c r="D43" s="7">
        <v>27.347027862292652</v>
      </c>
      <c r="E43" s="6">
        <f t="shared" ca="1" si="2"/>
        <v>1</v>
      </c>
      <c r="F43" s="6">
        <f t="shared" ca="1" si="3"/>
        <v>1</v>
      </c>
      <c r="G43" s="7">
        <f t="shared" ca="1" si="4"/>
        <v>31.930624270484557</v>
      </c>
      <c r="H43" s="7">
        <f t="shared" ca="1" si="5"/>
        <v>0.79710941930503809</v>
      </c>
      <c r="I43" s="6">
        <f t="shared" ca="1" si="6"/>
        <v>0</v>
      </c>
      <c r="J43" s="7">
        <f t="shared" ca="1" si="7"/>
        <v>31.930624270484557</v>
      </c>
    </row>
    <row r="44" spans="1:10" x14ac:dyDescent="0.2">
      <c r="A44" s="6">
        <v>37</v>
      </c>
      <c r="B44" s="7">
        <f t="shared" ca="1" si="0"/>
        <v>0.32857534424840862</v>
      </c>
      <c r="C44" s="7">
        <f t="shared" ca="1" si="1"/>
        <v>27.214520654904518</v>
      </c>
      <c r="D44" s="7">
        <v>28.295901165129134</v>
      </c>
      <c r="E44" s="6">
        <f t="shared" ca="1" si="2"/>
        <v>1</v>
      </c>
      <c r="F44" s="6">
        <f t="shared" ca="1" si="3"/>
        <v>1</v>
      </c>
      <c r="G44" s="7">
        <f t="shared" ca="1" si="4"/>
        <v>31.930624270484557</v>
      </c>
      <c r="H44" s="7">
        <f t="shared" ca="1" si="5"/>
        <v>9.7003829343073351E-3</v>
      </c>
      <c r="I44" s="6">
        <f t="shared" ca="1" si="6"/>
        <v>0</v>
      </c>
      <c r="J44" s="7">
        <f t="shared" ca="1" si="7"/>
        <v>31.930624270484557</v>
      </c>
    </row>
    <row r="45" spans="1:10" x14ac:dyDescent="0.2">
      <c r="A45" s="6">
        <v>38</v>
      </c>
      <c r="B45" s="7">
        <f t="shared" ca="1" si="0"/>
        <v>0.63319683704886487</v>
      </c>
      <c r="C45" s="7">
        <f t="shared" ca="1" si="1"/>
        <v>45.494527528222669</v>
      </c>
      <c r="D45" s="7">
        <v>28.478843488344893</v>
      </c>
      <c r="E45" s="6">
        <f t="shared" ca="1" si="2"/>
        <v>1</v>
      </c>
      <c r="F45" s="6">
        <f t="shared" ca="1" si="3"/>
        <v>1</v>
      </c>
      <c r="G45" s="7">
        <f t="shared" ca="1" si="4"/>
        <v>31.930624270484557</v>
      </c>
      <c r="H45" s="7">
        <f t="shared" ca="1" si="5"/>
        <v>1.6158658253831841</v>
      </c>
      <c r="I45" s="6">
        <f t="shared" ca="1" si="6"/>
        <v>0</v>
      </c>
      <c r="J45" s="7">
        <f t="shared" ca="1" si="7"/>
        <v>31.930624270484557</v>
      </c>
    </row>
    <row r="46" spans="1:10" x14ac:dyDescent="0.2">
      <c r="A46" s="6">
        <v>39</v>
      </c>
      <c r="B46" s="7">
        <f t="shared" ca="1" si="0"/>
        <v>0.78980436703188428</v>
      </c>
      <c r="C46" s="7">
        <f t="shared" ca="1" si="1"/>
        <v>56.309401637432664</v>
      </c>
      <c r="D46" s="7">
        <v>28.845513479161802</v>
      </c>
      <c r="E46" s="6">
        <f t="shared" ca="1" si="2"/>
        <v>1</v>
      </c>
      <c r="F46" s="6">
        <f t="shared" ca="1" si="3"/>
        <v>1</v>
      </c>
      <c r="G46" s="7">
        <f t="shared" ca="1" si="4"/>
        <v>31.930624270484557</v>
      </c>
      <c r="H46" s="7">
        <f t="shared" ca="1" si="5"/>
        <v>2.6105629564241606</v>
      </c>
      <c r="I46" s="6">
        <f t="shared" ca="1" si="6"/>
        <v>0</v>
      </c>
      <c r="J46" s="7">
        <f t="shared" ca="1" si="7"/>
        <v>31.930624270484557</v>
      </c>
    </row>
    <row r="47" spans="1:10" x14ac:dyDescent="0.2">
      <c r="A47" s="6">
        <v>40</v>
      </c>
      <c r="B47" s="7">
        <f t="shared" ca="1" si="0"/>
        <v>0.24914226721201804</v>
      </c>
      <c r="C47" s="7">
        <f t="shared" ca="1" si="1"/>
        <v>22.448536032721083</v>
      </c>
      <c r="D47" s="7">
        <v>29.855122398445282</v>
      </c>
      <c r="E47" s="6">
        <f t="shared" ca="1" si="2"/>
        <v>1</v>
      </c>
      <c r="F47" s="6">
        <f t="shared" ca="1" si="3"/>
        <v>1</v>
      </c>
      <c r="G47" s="7">
        <f t="shared" ca="1" si="4"/>
        <v>31.930624270484557</v>
      </c>
      <c r="H47" s="7">
        <f t="shared" ca="1" si="5"/>
        <v>1.5070502154709964</v>
      </c>
      <c r="I47" s="6">
        <f t="shared" ca="1" si="6"/>
        <v>0</v>
      </c>
      <c r="J47" s="7">
        <f t="shared" ca="1" si="7"/>
        <v>31.930624270484557</v>
      </c>
    </row>
    <row r="48" spans="1:10" x14ac:dyDescent="0.2">
      <c r="A48" s="6">
        <v>41</v>
      </c>
      <c r="B48" s="7">
        <f t="shared" ca="1" si="0"/>
        <v>0.46862091975090603</v>
      </c>
      <c r="C48" s="7">
        <f t="shared" ca="1" si="1"/>
        <v>35.617255185054361</v>
      </c>
      <c r="D48" s="7">
        <v>30.050193854044473</v>
      </c>
      <c r="E48" s="6">
        <f t="shared" ca="1" si="2"/>
        <v>1</v>
      </c>
      <c r="F48" s="6">
        <f t="shared" ca="1" si="3"/>
        <v>0</v>
      </c>
      <c r="G48" s="7">
        <f t="shared" ca="1" si="4"/>
        <v>31.930624270484557</v>
      </c>
      <c r="H48" s="7">
        <f t="shared" ca="1" si="5"/>
        <v>0.29963526965173976</v>
      </c>
      <c r="I48" s="6">
        <f t="shared" ca="1" si="6"/>
        <v>1</v>
      </c>
      <c r="J48" s="7">
        <f t="shared" ca="1" si="7"/>
        <v>32.230259540136295</v>
      </c>
    </row>
    <row r="49" spans="1:10" x14ac:dyDescent="0.2">
      <c r="A49" s="6">
        <v>42</v>
      </c>
      <c r="B49" s="7">
        <f t="shared" ca="1" si="0"/>
        <v>0.48727066340125202</v>
      </c>
      <c r="C49" s="7">
        <f t="shared" ca="1" si="1"/>
        <v>36.736239804075119</v>
      </c>
      <c r="D49" s="7">
        <v>30.944583856667517</v>
      </c>
      <c r="E49" s="6">
        <f t="shared" ca="1" si="2"/>
        <v>1</v>
      </c>
      <c r="F49" s="6">
        <f t="shared" ca="1" si="3"/>
        <v>0</v>
      </c>
      <c r="G49" s="7">
        <f t="shared" ca="1" si="4"/>
        <v>32.230259540136295</v>
      </c>
      <c r="H49" s="7">
        <f t="shared" ca="1" si="5"/>
        <v>0.61074203670398319</v>
      </c>
      <c r="I49" s="6">
        <f t="shared" ca="1" si="6"/>
        <v>1</v>
      </c>
      <c r="J49" s="7">
        <f t="shared" ca="1" si="7"/>
        <v>32.841001576840277</v>
      </c>
    </row>
    <row r="50" spans="1:10" x14ac:dyDescent="0.2">
      <c r="A50" s="6">
        <v>43</v>
      </c>
      <c r="B50" s="7">
        <f t="shared" ca="1" si="0"/>
        <v>0.36882272094254187</v>
      </c>
      <c r="C50" s="7">
        <f t="shared" ca="1" si="1"/>
        <v>29.629363256552512</v>
      </c>
      <c r="D50" s="7">
        <v>31.483615888995921</v>
      </c>
      <c r="E50" s="6">
        <f t="shared" ca="1" si="2"/>
        <v>1</v>
      </c>
      <c r="F50" s="6">
        <f t="shared" ca="1" si="3"/>
        <v>0</v>
      </c>
      <c r="G50" s="7">
        <f t="shared" ca="1" si="4"/>
        <v>32.841001576840277</v>
      </c>
      <c r="H50" s="7">
        <f t="shared" ca="1" si="5"/>
        <v>0.39469997956715669</v>
      </c>
      <c r="I50" s="6">
        <f t="shared" ca="1" si="6"/>
        <v>1</v>
      </c>
      <c r="J50" s="7">
        <f t="shared" ca="1" si="7"/>
        <v>33.235701556407435</v>
      </c>
    </row>
    <row r="51" spans="1:10" x14ac:dyDescent="0.2">
      <c r="A51" s="6">
        <v>44</v>
      </c>
      <c r="B51" s="7">
        <f t="shared" ca="1" si="0"/>
        <v>2.0290015613374401E-2</v>
      </c>
      <c r="C51" s="7">
        <f t="shared" ca="1" si="1"/>
        <v>6.04334577068646</v>
      </c>
      <c r="D51" s="7">
        <v>32.006213690046067</v>
      </c>
      <c r="E51" s="6">
        <f t="shared" ca="1" si="2"/>
        <v>0</v>
      </c>
      <c r="F51" s="6">
        <f t="shared" ca="1" si="3"/>
        <v>0</v>
      </c>
      <c r="G51" s="7">
        <f t="shared" ca="1" si="4"/>
        <v>33.235701556407435</v>
      </c>
      <c r="H51" s="7">
        <f t="shared" ca="1" si="5"/>
        <v>1.303003632835497</v>
      </c>
      <c r="I51" s="6">
        <f t="shared" ca="1" si="6"/>
        <v>0</v>
      </c>
      <c r="J51" s="7">
        <f t="shared" ca="1" si="7"/>
        <v>33.235701556407435</v>
      </c>
    </row>
    <row r="52" spans="1:10" x14ac:dyDescent="0.2">
      <c r="A52" s="6">
        <v>45</v>
      </c>
      <c r="B52" s="7">
        <f t="shared" ca="1" si="0"/>
        <v>0.58388426542022054</v>
      </c>
      <c r="C52" s="7">
        <f t="shared" ca="1" si="1"/>
        <v>42.533055925213233</v>
      </c>
      <c r="D52" s="7">
        <v>32.859302012410176</v>
      </c>
      <c r="E52" s="6">
        <f t="shared" ca="1" si="2"/>
        <v>1</v>
      </c>
      <c r="F52" s="6">
        <f t="shared" ca="1" si="3"/>
        <v>0</v>
      </c>
      <c r="G52" s="7">
        <f t="shared" ca="1" si="4"/>
        <v>33.235701556407435</v>
      </c>
      <c r="H52" s="7">
        <f t="shared" ca="1" si="5"/>
        <v>1.3308207685417772</v>
      </c>
      <c r="I52" s="6">
        <f t="shared" ca="1" si="6"/>
        <v>1</v>
      </c>
      <c r="J52" s="7">
        <f t="shared" ca="1" si="7"/>
        <v>34.566522324949212</v>
      </c>
    </row>
    <row r="53" spans="1:10" x14ac:dyDescent="0.2">
      <c r="A53" s="6">
        <v>46</v>
      </c>
      <c r="B53" s="7">
        <f t="shared" ca="1" si="0"/>
        <v>9.6111363229995916E-2</v>
      </c>
      <c r="C53" s="7">
        <f t="shared" ca="1" si="1"/>
        <v>13.152963689374065</v>
      </c>
      <c r="D53" s="7">
        <v>33.340718863715736</v>
      </c>
      <c r="E53" s="6">
        <f t="shared" ca="1" si="2"/>
        <v>0</v>
      </c>
      <c r="F53" s="6">
        <f t="shared" ca="1" si="3"/>
        <v>0</v>
      </c>
      <c r="G53" s="7">
        <f t="shared" ca="1" si="4"/>
        <v>34.566522324949212</v>
      </c>
      <c r="H53" s="7">
        <f t="shared" ca="1" si="5"/>
        <v>0.93166897476456334</v>
      </c>
      <c r="I53" s="6">
        <f t="shared" ca="1" si="6"/>
        <v>0</v>
      </c>
      <c r="J53" s="7">
        <f t="shared" ca="1" si="7"/>
        <v>34.566522324949212</v>
      </c>
    </row>
    <row r="54" spans="1:10" x14ac:dyDescent="0.2">
      <c r="A54" s="6">
        <v>47</v>
      </c>
      <c r="B54" s="7">
        <f t="shared" ca="1" si="0"/>
        <v>0.72352034992703784</v>
      </c>
      <c r="C54" s="7">
        <f t="shared" ca="1" si="1"/>
        <v>51.360769800706493</v>
      </c>
      <c r="D54" s="7">
        <v>34.039016554071438</v>
      </c>
      <c r="E54" s="6">
        <f t="shared" ca="1" si="2"/>
        <v>0</v>
      </c>
      <c r="F54" s="6">
        <f t="shared" ca="1" si="3"/>
        <v>0</v>
      </c>
      <c r="G54" s="7">
        <f t="shared" ca="1" si="4"/>
        <v>34.566522324949212</v>
      </c>
      <c r="H54" s="7">
        <f t="shared" ca="1" si="5"/>
        <v>0.20780158387656547</v>
      </c>
      <c r="I54" s="6">
        <f t="shared" ca="1" si="6"/>
        <v>0</v>
      </c>
      <c r="J54" s="7">
        <f t="shared" ca="1" si="7"/>
        <v>34.566522324949212</v>
      </c>
    </row>
    <row r="55" spans="1:10" x14ac:dyDescent="0.2">
      <c r="A55" s="6">
        <v>48</v>
      </c>
      <c r="B55" s="7">
        <f t="shared" ca="1" si="0"/>
        <v>0.90021409885402015</v>
      </c>
      <c r="C55" s="7">
        <f t="shared" ca="1" si="1"/>
        <v>66.786989290738461</v>
      </c>
      <c r="D55" s="7">
        <v>34.679717453412579</v>
      </c>
      <c r="E55" s="6">
        <f t="shared" ca="1" si="2"/>
        <v>0</v>
      </c>
      <c r="F55" s="6">
        <f t="shared" ca="1" si="3"/>
        <v>0</v>
      </c>
      <c r="G55" s="7">
        <f t="shared" ca="1" si="4"/>
        <v>34.679717453412579</v>
      </c>
      <c r="H55" s="7">
        <f t="shared" ca="1" si="5"/>
        <v>2.0090156280634499</v>
      </c>
      <c r="I55" s="6">
        <f t="shared" ca="1" si="6"/>
        <v>0</v>
      </c>
      <c r="J55" s="7">
        <f t="shared" ca="1" si="7"/>
        <v>34.566522324949212</v>
      </c>
    </row>
    <row r="56" spans="1:10" x14ac:dyDescent="0.2">
      <c r="A56" s="6">
        <v>49</v>
      </c>
      <c r="B56" s="7">
        <f t="shared" ca="1" si="0"/>
        <v>0.24641368116004381</v>
      </c>
      <c r="C56" s="7">
        <f t="shared" ca="1" si="1"/>
        <v>22.28482086960263</v>
      </c>
      <c r="D56" s="7">
        <v>36.936181640708703</v>
      </c>
      <c r="E56" s="6">
        <f t="shared" ca="1" si="2"/>
        <v>1</v>
      </c>
      <c r="F56" s="6">
        <f t="shared" ca="1" si="3"/>
        <v>0</v>
      </c>
      <c r="G56" s="7">
        <f t="shared" ca="1" si="4"/>
        <v>36.936181640708703</v>
      </c>
      <c r="H56" s="7">
        <f t="shared" ca="1" si="5"/>
        <v>1.0590409073370739</v>
      </c>
      <c r="I56" s="6">
        <f t="shared" ca="1" si="6"/>
        <v>1</v>
      </c>
      <c r="J56" s="7">
        <f t="shared" ca="1" si="7"/>
        <v>37.995222548045774</v>
      </c>
    </row>
    <row r="57" spans="1:10" x14ac:dyDescent="0.2">
      <c r="A57" s="6">
        <v>50</v>
      </c>
      <c r="B57" s="7">
        <f t="shared" ca="1" si="0"/>
        <v>0.40854574417668332</v>
      </c>
      <c r="C57" s="7">
        <f t="shared" ca="1" si="1"/>
        <v>32.012744650601</v>
      </c>
      <c r="D57" s="7">
        <v>37.994857583543286</v>
      </c>
      <c r="E57" s="6">
        <f t="shared" ca="1" si="2"/>
        <v>0</v>
      </c>
      <c r="F57" s="6">
        <f t="shared" ca="1" si="3"/>
        <v>0</v>
      </c>
      <c r="G57" s="7">
        <f t="shared" ca="1" si="4"/>
        <v>37.995222548045774</v>
      </c>
      <c r="H57" s="7">
        <f t="shared" ca="1" si="5"/>
        <v>3.6078906003389326</v>
      </c>
      <c r="I57" s="6">
        <f t="shared" ca="1" si="6"/>
        <v>0</v>
      </c>
      <c r="J57" s="7">
        <f t="shared" ca="1" si="7"/>
        <v>37.995222548045774</v>
      </c>
    </row>
    <row r="58" spans="1:10" x14ac:dyDescent="0.2">
      <c r="A58" s="6">
        <v>51</v>
      </c>
      <c r="B58" s="7">
        <f t="shared" ca="1" si="0"/>
        <v>0.49176836202292595</v>
      </c>
      <c r="C58" s="7">
        <f t="shared" ca="1" si="1"/>
        <v>37.006101721375558</v>
      </c>
      <c r="D58" s="7">
        <v>38.815578376531668</v>
      </c>
      <c r="E58" s="6">
        <f t="shared" ca="1" si="2"/>
        <v>1</v>
      </c>
      <c r="F58" s="6">
        <f t="shared" ca="1" si="3"/>
        <v>0</v>
      </c>
      <c r="G58" s="7">
        <f t="shared" ca="1" si="4"/>
        <v>38.815578376531668</v>
      </c>
      <c r="H58" s="7">
        <f t="shared" ca="1" si="5"/>
        <v>0.45903563862962643</v>
      </c>
      <c r="I58" s="6">
        <f t="shared" ca="1" si="6"/>
        <v>1</v>
      </c>
      <c r="J58" s="7">
        <f t="shared" ca="1" si="7"/>
        <v>39.274614015161298</v>
      </c>
    </row>
    <row r="59" spans="1:10" x14ac:dyDescent="0.2">
      <c r="A59" s="6">
        <v>52</v>
      </c>
      <c r="B59" s="7">
        <f t="shared" ca="1" si="0"/>
        <v>0.31737688116938845</v>
      </c>
      <c r="C59" s="7">
        <f t="shared" ca="1" si="1"/>
        <v>26.542612870163307</v>
      </c>
      <c r="D59" s="7">
        <v>39.636495921131107</v>
      </c>
      <c r="E59" s="6">
        <f t="shared" ca="1" si="2"/>
        <v>1</v>
      </c>
      <c r="F59" s="6">
        <f t="shared" ca="1" si="3"/>
        <v>0</v>
      </c>
      <c r="G59" s="7">
        <f t="shared" ca="1" si="4"/>
        <v>39.636495921131107</v>
      </c>
      <c r="H59" s="7">
        <f t="shared" ca="1" si="5"/>
        <v>1.4533184295093864</v>
      </c>
      <c r="I59" s="6">
        <f t="shared" ca="1" si="6"/>
        <v>1</v>
      </c>
      <c r="J59" s="7">
        <f t="shared" ca="1" si="7"/>
        <v>41.089814350640495</v>
      </c>
    </row>
    <row r="60" spans="1:10" x14ac:dyDescent="0.2">
      <c r="A60" s="6">
        <v>53</v>
      </c>
      <c r="B60" s="7">
        <f t="shared" ca="1" si="0"/>
        <v>0.67021813096485128</v>
      </c>
      <c r="C60" s="7">
        <f t="shared" ca="1" si="1"/>
        <v>47.800212171270303</v>
      </c>
      <c r="D60" s="7">
        <v>40.068756419640394</v>
      </c>
      <c r="E60" s="6">
        <f t="shared" ca="1" si="2"/>
        <v>1</v>
      </c>
      <c r="F60" s="6">
        <f t="shared" ca="1" si="3"/>
        <v>0</v>
      </c>
      <c r="G60" s="7">
        <f t="shared" ca="1" si="4"/>
        <v>41.089814350640495</v>
      </c>
      <c r="H60" s="7">
        <f t="shared" ca="1" si="5"/>
        <v>0.52029774034089038</v>
      </c>
      <c r="I60" s="6">
        <f t="shared" ca="1" si="6"/>
        <v>1</v>
      </c>
      <c r="J60" s="7">
        <f t="shared" ca="1" si="7"/>
        <v>41.610112090981389</v>
      </c>
    </row>
    <row r="61" spans="1:10" x14ac:dyDescent="0.2">
      <c r="A61" s="6">
        <v>54</v>
      </c>
      <c r="B61" s="7">
        <f t="shared" ca="1" si="0"/>
        <v>0.25577350167881319</v>
      </c>
      <c r="C61" s="7">
        <f t="shared" ca="1" si="1"/>
        <v>22.846410100728789</v>
      </c>
      <c r="D61" s="7">
        <v>40.095263040328568</v>
      </c>
      <c r="E61" s="6">
        <f t="shared" ca="1" si="2"/>
        <v>0</v>
      </c>
      <c r="F61" s="6">
        <f t="shared" ca="1" si="3"/>
        <v>0</v>
      </c>
      <c r="G61" s="7">
        <f t="shared" ca="1" si="4"/>
        <v>41.610112090981389</v>
      </c>
      <c r="H61" s="7">
        <f t="shared" ca="1" si="5"/>
        <v>0.80335934717949831</v>
      </c>
      <c r="I61" s="6">
        <f t="shared" ca="1" si="6"/>
        <v>0</v>
      </c>
      <c r="J61" s="7">
        <f t="shared" ca="1" si="7"/>
        <v>41.610112090981389</v>
      </c>
    </row>
    <row r="62" spans="1:10" x14ac:dyDescent="0.2">
      <c r="A62" s="6">
        <v>55</v>
      </c>
      <c r="B62" s="7">
        <f t="shared" ca="1" si="0"/>
        <v>9.4654815758139832E-2</v>
      </c>
      <c r="C62" s="7">
        <f t="shared" ca="1" si="1"/>
        <v>13.052918001912511</v>
      </c>
      <c r="D62" s="7">
        <v>40.876565013950803</v>
      </c>
      <c r="E62" s="6">
        <f t="shared" ca="1" si="2"/>
        <v>1</v>
      </c>
      <c r="F62" s="6">
        <f t="shared" ca="1" si="3"/>
        <v>0</v>
      </c>
      <c r="G62" s="7">
        <f t="shared" ca="1" si="4"/>
        <v>41.610112090981389</v>
      </c>
      <c r="H62" s="7">
        <f t="shared" ca="1" si="5"/>
        <v>1.4898495227414144</v>
      </c>
      <c r="I62" s="6">
        <f t="shared" ca="1" si="6"/>
        <v>1</v>
      </c>
      <c r="J62" s="7">
        <f t="shared" ca="1" si="7"/>
        <v>43.099961613722805</v>
      </c>
    </row>
    <row r="63" spans="1:10" x14ac:dyDescent="0.2">
      <c r="A63" s="6">
        <v>56</v>
      </c>
      <c r="B63" s="7">
        <f t="shared" ca="1" si="0"/>
        <v>0.20841603547634568</v>
      </c>
      <c r="C63" s="7">
        <f t="shared" ca="1" si="1"/>
        <v>20.00496212858074</v>
      </c>
      <c r="D63" s="7">
        <v>42.405619521436769</v>
      </c>
      <c r="E63" s="6">
        <f t="shared" ca="1" si="2"/>
        <v>1</v>
      </c>
      <c r="F63" s="6">
        <f t="shared" ca="1" si="3"/>
        <v>0</v>
      </c>
      <c r="G63" s="7">
        <f t="shared" ca="1" si="4"/>
        <v>43.099961613722805</v>
      </c>
      <c r="H63" s="7">
        <f t="shared" ca="1" si="5"/>
        <v>0.77088724133889408</v>
      </c>
      <c r="I63" s="6">
        <f t="shared" ca="1" si="6"/>
        <v>1</v>
      </c>
      <c r="J63" s="7">
        <f t="shared" ca="1" si="7"/>
        <v>43.870848855061702</v>
      </c>
    </row>
    <row r="64" spans="1:10" x14ac:dyDescent="0.2">
      <c r="A64" s="6">
        <v>57</v>
      </c>
      <c r="B64" s="7">
        <f t="shared" ca="1" si="0"/>
        <v>0.96551856422878946</v>
      </c>
      <c r="C64" s="7">
        <f t="shared" ca="1" si="1"/>
        <v>76.354496961836219</v>
      </c>
      <c r="D64" s="7">
        <v>42.54749183111533</v>
      </c>
      <c r="E64" s="6">
        <f t="shared" ca="1" si="2"/>
        <v>0</v>
      </c>
      <c r="F64" s="6">
        <f t="shared" ca="1" si="3"/>
        <v>0</v>
      </c>
      <c r="G64" s="7">
        <f t="shared" ca="1" si="4"/>
        <v>43.870848855061702</v>
      </c>
      <c r="H64" s="7">
        <f t="shared" ca="1" si="5"/>
        <v>1.211692800629131</v>
      </c>
      <c r="I64" s="6">
        <f t="shared" ca="1" si="6"/>
        <v>0</v>
      </c>
      <c r="J64" s="7">
        <f t="shared" ca="1" si="7"/>
        <v>43.870848855061702</v>
      </c>
    </row>
    <row r="65" spans="1:10" x14ac:dyDescent="0.2">
      <c r="A65" s="6">
        <v>58</v>
      </c>
      <c r="B65" s="7">
        <f t="shared" ca="1" si="0"/>
        <v>0.2086288322333425</v>
      </c>
      <c r="C65" s="7">
        <f t="shared" ca="1" si="1"/>
        <v>20.017729934000549</v>
      </c>
      <c r="D65" s="7">
        <v>44.531695387819312</v>
      </c>
      <c r="E65" s="6">
        <f t="shared" ca="1" si="2"/>
        <v>1</v>
      </c>
      <c r="F65" s="6">
        <f t="shared" ca="1" si="3"/>
        <v>0</v>
      </c>
      <c r="G65" s="7">
        <f t="shared" ca="1" si="4"/>
        <v>44.531695387819312</v>
      </c>
      <c r="H65" s="7">
        <f t="shared" ca="1" si="5"/>
        <v>1.4874889942243361</v>
      </c>
      <c r="I65" s="6">
        <f t="shared" ca="1" si="6"/>
        <v>1</v>
      </c>
      <c r="J65" s="7">
        <f t="shared" ca="1" si="7"/>
        <v>46.019184382043647</v>
      </c>
    </row>
    <row r="66" spans="1:10" x14ac:dyDescent="0.2">
      <c r="A66" s="6">
        <v>59</v>
      </c>
      <c r="B66" s="7">
        <f t="shared" ca="1" si="0"/>
        <v>0.65797587917653766</v>
      </c>
      <c r="C66" s="7">
        <f t="shared" ca="1" si="1"/>
        <v>47.02407357081529</v>
      </c>
      <c r="D66" s="7">
        <v>45.532751567030537</v>
      </c>
      <c r="E66" s="6">
        <f t="shared" ca="1" si="2"/>
        <v>1</v>
      </c>
      <c r="F66" s="6">
        <f t="shared" ca="1" si="3"/>
        <v>0</v>
      </c>
      <c r="G66" s="7">
        <f t="shared" ca="1" si="4"/>
        <v>46.019184382043647</v>
      </c>
      <c r="H66" s="7">
        <f t="shared" ca="1" si="5"/>
        <v>0.15720451451518866</v>
      </c>
      <c r="I66" s="6">
        <f t="shared" ca="1" si="6"/>
        <v>1</v>
      </c>
      <c r="J66" s="7">
        <f t="shared" ca="1" si="7"/>
        <v>46.176388896558834</v>
      </c>
    </row>
    <row r="67" spans="1:10" x14ac:dyDescent="0.2">
      <c r="A67" s="6">
        <v>60</v>
      </c>
      <c r="B67" s="7">
        <f t="shared" ca="1" si="0"/>
        <v>0.71944857937059203</v>
      </c>
      <c r="C67" s="7">
        <f t="shared" ca="1" si="1"/>
        <v>51.077285919417143</v>
      </c>
      <c r="D67" s="7">
        <v>46.708304726229002</v>
      </c>
      <c r="E67" s="6">
        <f t="shared" ca="1" si="2"/>
        <v>1</v>
      </c>
      <c r="F67" s="6">
        <f t="shared" ca="1" si="3"/>
        <v>0</v>
      </c>
      <c r="G67" s="7">
        <f t="shared" ca="1" si="4"/>
        <v>46.708304726229002</v>
      </c>
      <c r="H67" s="7">
        <f t="shared" ca="1" si="5"/>
        <v>1.2783939148272485</v>
      </c>
      <c r="I67" s="6">
        <f t="shared" ca="1" si="6"/>
        <v>1</v>
      </c>
      <c r="J67" s="7">
        <f t="shared" ca="1" si="7"/>
        <v>47.98669864105625</v>
      </c>
    </row>
    <row r="68" spans="1:10" x14ac:dyDescent="0.2">
      <c r="A68" s="6">
        <v>61</v>
      </c>
      <c r="B68" s="7">
        <f t="shared" ca="1" si="0"/>
        <v>0.67987870364673542</v>
      </c>
      <c r="C68" s="7">
        <f t="shared" ca="1" si="1"/>
        <v>48.422902935538794</v>
      </c>
      <c r="D68" s="7">
        <v>46.832644557274506</v>
      </c>
      <c r="E68" s="6">
        <f t="shared" ca="1" si="2"/>
        <v>1</v>
      </c>
      <c r="F68" s="6">
        <f t="shared" ca="1" si="3"/>
        <v>0</v>
      </c>
      <c r="G68" s="7">
        <f t="shared" ca="1" si="4"/>
        <v>47.98669864105625</v>
      </c>
      <c r="H68" s="7">
        <f t="shared" ca="1" si="5"/>
        <v>0.68270185259980809</v>
      </c>
      <c r="I68" s="6">
        <f t="shared" ca="1" si="6"/>
        <v>1</v>
      </c>
      <c r="J68" s="7">
        <f t="shared" ca="1" si="7"/>
        <v>48.669400493656056</v>
      </c>
    </row>
    <row r="69" spans="1:10" x14ac:dyDescent="0.2">
      <c r="A69" s="6">
        <v>62</v>
      </c>
      <c r="B69" s="7">
        <f t="shared" ca="1" si="0"/>
        <v>0.56194202505145563</v>
      </c>
      <c r="C69" s="7">
        <f t="shared" ca="1" si="1"/>
        <v>41.216521503087336</v>
      </c>
      <c r="D69" s="7">
        <v>47.056202716267656</v>
      </c>
      <c r="E69" s="6">
        <f t="shared" ca="1" si="2"/>
        <v>0</v>
      </c>
      <c r="F69" s="6">
        <f t="shared" ca="1" si="3"/>
        <v>0</v>
      </c>
      <c r="G69" s="7">
        <f t="shared" ca="1" si="4"/>
        <v>48.669400493656056</v>
      </c>
      <c r="H69" s="7">
        <f t="shared" ca="1" si="5"/>
        <v>0.34425606779860857</v>
      </c>
      <c r="I69" s="6">
        <f t="shared" ca="1" si="6"/>
        <v>0</v>
      </c>
      <c r="J69" s="7">
        <f t="shared" ca="1" si="7"/>
        <v>48.669400493656056</v>
      </c>
    </row>
    <row r="70" spans="1:10" x14ac:dyDescent="0.2">
      <c r="A70" s="6">
        <v>63</v>
      </c>
      <c r="B70" s="7">
        <f t="shared" ca="1" si="0"/>
        <v>0.24986832174017093</v>
      </c>
      <c r="C70" s="7">
        <f t="shared" ca="1" si="1"/>
        <v>22.492099304410257</v>
      </c>
      <c r="D70" s="7">
        <v>47.518444840494773</v>
      </c>
      <c r="E70" s="6">
        <f t="shared" ca="1" si="2"/>
        <v>1</v>
      </c>
      <c r="F70" s="6">
        <f t="shared" ca="1" si="3"/>
        <v>0</v>
      </c>
      <c r="G70" s="7">
        <f t="shared" ca="1" si="4"/>
        <v>48.669400493656056</v>
      </c>
      <c r="H70" s="7">
        <f t="shared" ca="1" si="5"/>
        <v>7.905720940498337E-2</v>
      </c>
      <c r="I70" s="6">
        <f t="shared" ca="1" si="6"/>
        <v>1</v>
      </c>
      <c r="J70" s="7">
        <f t="shared" ca="1" si="7"/>
        <v>48.748457703061042</v>
      </c>
    </row>
    <row r="71" spans="1:10" x14ac:dyDescent="0.2">
      <c r="A71" s="6">
        <v>64</v>
      </c>
      <c r="B71" s="7">
        <f t="shared" ca="1" si="0"/>
        <v>0.43474781054263345</v>
      </c>
      <c r="C71" s="7">
        <f t="shared" ca="1" si="1"/>
        <v>33.584868632558006</v>
      </c>
      <c r="D71" s="7">
        <v>47.579014454779966</v>
      </c>
      <c r="E71" s="6">
        <f t="shared" ca="1" si="2"/>
        <v>0</v>
      </c>
      <c r="F71" s="6">
        <f t="shared" ca="1" si="3"/>
        <v>0</v>
      </c>
      <c r="G71" s="7">
        <f t="shared" ca="1" si="4"/>
        <v>48.748457703061042</v>
      </c>
      <c r="H71" s="7">
        <f t="shared" ca="1" si="5"/>
        <v>0.29575291186587288</v>
      </c>
      <c r="I71" s="6">
        <f t="shared" ca="1" si="6"/>
        <v>0</v>
      </c>
      <c r="J71" s="7">
        <f t="shared" ca="1" si="7"/>
        <v>48.748457703061042</v>
      </c>
    </row>
    <row r="72" spans="1:10" x14ac:dyDescent="0.2">
      <c r="A72" s="6">
        <v>65</v>
      </c>
      <c r="B72" s="7">
        <f t="shared" ca="1" si="0"/>
        <v>0.94249162140144382</v>
      </c>
      <c r="C72" s="7">
        <f t="shared" ca="1" si="1"/>
        <v>72.377706039445286</v>
      </c>
      <c r="D72" s="7">
        <v>47.895896651089089</v>
      </c>
      <c r="E72" s="6">
        <f t="shared" ca="1" si="2"/>
        <v>1</v>
      </c>
      <c r="F72" s="6">
        <f t="shared" ca="1" si="3"/>
        <v>0</v>
      </c>
      <c r="G72" s="7">
        <f t="shared" ca="1" si="4"/>
        <v>48.748457703061042</v>
      </c>
      <c r="H72" s="7">
        <f t="shared" ca="1" si="5"/>
        <v>0.38238361141151062</v>
      </c>
      <c r="I72" s="6">
        <f t="shared" ca="1" si="6"/>
        <v>1</v>
      </c>
      <c r="J72" s="7">
        <f t="shared" ca="1" si="7"/>
        <v>49.130841314472555</v>
      </c>
    </row>
    <row r="73" spans="1:10" x14ac:dyDescent="0.2">
      <c r="A73" s="6">
        <v>66</v>
      </c>
      <c r="B73" s="7">
        <f t="shared" ref="B73:B107" ca="1" si="8">RAND()</f>
        <v>0.2975330250348317</v>
      </c>
      <c r="C73" s="7">
        <f t="shared" ref="C73:C107" ca="1" si="9">IF(B73&lt;0.125,SQRT(1800*B73),IF(B73&lt;0.625,60*(B73+0.125),90-SQRT(5400*(1-B73))))</f>
        <v>25.351981502089902</v>
      </c>
      <c r="D73" s="7">
        <v>48.544675580371752</v>
      </c>
      <c r="E73" s="6">
        <f t="shared" ref="E73:E107" ca="1" si="10">IF(RAND()&lt;$C$4,1,0)</f>
        <v>0</v>
      </c>
      <c r="F73" s="6">
        <f t="shared" ref="F73:F107" ca="1" si="11">IF(AND(J72-D73&gt;$C$3,E73=1),1,0)</f>
        <v>0</v>
      </c>
      <c r="G73" s="7">
        <f t="shared" ref="G73:G107" ca="1" si="12">MAX(D73,J72)</f>
        <v>49.130841314472555</v>
      </c>
      <c r="H73" s="7">
        <f t="shared" ref="H73:H107" ca="1" si="13">-(1/$C$2)*LN(1-RAND())</f>
        <v>0.38454213814423605</v>
      </c>
      <c r="I73" s="6">
        <f t="shared" ref="I73:I107" ca="1" si="14">IF(AND(E73=1,F73=0),1,0)</f>
        <v>0</v>
      </c>
      <c r="J73" s="7">
        <f t="shared" ref="J73:J107" ca="1" si="15">IF(I73=1,G73+H73,J72)</f>
        <v>49.130841314472555</v>
      </c>
    </row>
    <row r="74" spans="1:10" x14ac:dyDescent="0.2">
      <c r="A74" s="6">
        <v>67</v>
      </c>
      <c r="B74" s="7">
        <f t="shared" ca="1" si="8"/>
        <v>7.8755183746525237E-2</v>
      </c>
      <c r="C74" s="7">
        <f t="shared" ca="1" si="9"/>
        <v>11.906272747747106</v>
      </c>
      <c r="D74" s="7">
        <v>48.577684494299049</v>
      </c>
      <c r="E74" s="6">
        <f t="shared" ca="1" si="10"/>
        <v>1</v>
      </c>
      <c r="F74" s="6">
        <f t="shared" ca="1" si="11"/>
        <v>0</v>
      </c>
      <c r="G74" s="7">
        <f t="shared" ca="1" si="12"/>
        <v>49.130841314472555</v>
      </c>
      <c r="H74" s="7">
        <f t="shared" ca="1" si="13"/>
        <v>1.1971447634649028</v>
      </c>
      <c r="I74" s="6">
        <f t="shared" ca="1" si="14"/>
        <v>1</v>
      </c>
      <c r="J74" s="7">
        <f t="shared" ca="1" si="15"/>
        <v>50.32798607793746</v>
      </c>
    </row>
    <row r="75" spans="1:10" x14ac:dyDescent="0.2">
      <c r="A75" s="6">
        <v>68</v>
      </c>
      <c r="B75" s="7">
        <f t="shared" ca="1" si="8"/>
        <v>0.25260374260937279</v>
      </c>
      <c r="C75" s="7">
        <f t="shared" ca="1" si="9"/>
        <v>22.656224556562368</v>
      </c>
      <c r="D75" s="7">
        <v>48.880949238362803</v>
      </c>
      <c r="E75" s="6">
        <f t="shared" ca="1" si="10"/>
        <v>1</v>
      </c>
      <c r="F75" s="6">
        <f t="shared" ca="1" si="11"/>
        <v>0</v>
      </c>
      <c r="G75" s="7">
        <f t="shared" ca="1" si="12"/>
        <v>50.32798607793746</v>
      </c>
      <c r="H75" s="7">
        <f t="shared" ca="1" si="13"/>
        <v>1.1144879626925026</v>
      </c>
      <c r="I75" s="6">
        <f t="shared" ca="1" si="14"/>
        <v>1</v>
      </c>
      <c r="J75" s="7">
        <f t="shared" ca="1" si="15"/>
        <v>51.442474040629961</v>
      </c>
    </row>
    <row r="76" spans="1:10" x14ac:dyDescent="0.2">
      <c r="A76" s="6">
        <v>69</v>
      </c>
      <c r="B76" s="7">
        <f t="shared" ca="1" si="8"/>
        <v>0.89400284566782373</v>
      </c>
      <c r="C76" s="7">
        <f t="shared" ca="1" si="9"/>
        <v>66.075438700077456</v>
      </c>
      <c r="D76" s="7">
        <v>49.229947798850908</v>
      </c>
      <c r="E76" s="6">
        <f t="shared" ca="1" si="10"/>
        <v>1</v>
      </c>
      <c r="F76" s="6">
        <f t="shared" ca="1" si="11"/>
        <v>1</v>
      </c>
      <c r="G76" s="7">
        <f t="shared" ca="1" si="12"/>
        <v>51.442474040629961</v>
      </c>
      <c r="H76" s="7">
        <f t="shared" ca="1" si="13"/>
        <v>2.9405654134708574</v>
      </c>
      <c r="I76" s="6">
        <f t="shared" ca="1" si="14"/>
        <v>0</v>
      </c>
      <c r="J76" s="7">
        <f t="shared" ca="1" si="15"/>
        <v>51.442474040629961</v>
      </c>
    </row>
    <row r="77" spans="1:10" x14ac:dyDescent="0.2">
      <c r="A77" s="6">
        <v>70</v>
      </c>
      <c r="B77" s="7">
        <f t="shared" ca="1" si="8"/>
        <v>0.90359525668206842</v>
      </c>
      <c r="C77" s="7">
        <f t="shared" ca="1" si="9"/>
        <v>67.183654676595765</v>
      </c>
      <c r="D77" s="7">
        <v>49.464835568384949</v>
      </c>
      <c r="E77" s="6">
        <f t="shared" ca="1" si="10"/>
        <v>1</v>
      </c>
      <c r="F77" s="6">
        <f t="shared" ca="1" si="11"/>
        <v>0</v>
      </c>
      <c r="G77" s="7">
        <f t="shared" ca="1" si="12"/>
        <v>51.442474040629961</v>
      </c>
      <c r="H77" s="7">
        <f t="shared" ca="1" si="13"/>
        <v>0.13796752222973688</v>
      </c>
      <c r="I77" s="6">
        <f t="shared" ca="1" si="14"/>
        <v>1</v>
      </c>
      <c r="J77" s="7">
        <f t="shared" ca="1" si="15"/>
        <v>51.580441562859697</v>
      </c>
    </row>
    <row r="78" spans="1:10" x14ac:dyDescent="0.2">
      <c r="A78" s="6">
        <v>71</v>
      </c>
      <c r="B78" s="7">
        <f t="shared" ca="1" si="8"/>
        <v>0.15173351976854654</v>
      </c>
      <c r="C78" s="7">
        <f t="shared" ca="1" si="9"/>
        <v>16.604011186112793</v>
      </c>
      <c r="D78" s="7">
        <v>50.401631970591851</v>
      </c>
      <c r="E78" s="6">
        <f t="shared" ca="1" si="10"/>
        <v>1</v>
      </c>
      <c r="F78" s="6">
        <f t="shared" ca="1" si="11"/>
        <v>0</v>
      </c>
      <c r="G78" s="7">
        <f t="shared" ca="1" si="12"/>
        <v>51.580441562859697</v>
      </c>
      <c r="H78" s="7">
        <f t="shared" ca="1" si="13"/>
        <v>2.0272468166560591</v>
      </c>
      <c r="I78" s="6">
        <f t="shared" ca="1" si="14"/>
        <v>1</v>
      </c>
      <c r="J78" s="7">
        <f t="shared" ca="1" si="15"/>
        <v>53.607688379515757</v>
      </c>
    </row>
    <row r="79" spans="1:10" x14ac:dyDescent="0.2">
      <c r="A79" s="6">
        <v>72</v>
      </c>
      <c r="B79" s="7">
        <f t="shared" ca="1" si="8"/>
        <v>0.55955046010845055</v>
      </c>
      <c r="C79" s="7">
        <f t="shared" ca="1" si="9"/>
        <v>41.073027606507033</v>
      </c>
      <c r="D79" s="7">
        <v>50.826735761683089</v>
      </c>
      <c r="E79" s="6">
        <f t="shared" ca="1" si="10"/>
        <v>1</v>
      </c>
      <c r="F79" s="6">
        <f t="shared" ca="1" si="11"/>
        <v>1</v>
      </c>
      <c r="G79" s="7">
        <f t="shared" ca="1" si="12"/>
        <v>53.607688379515757</v>
      </c>
      <c r="H79" s="7">
        <f t="shared" ca="1" si="13"/>
        <v>0.32566804625523438</v>
      </c>
      <c r="I79" s="6">
        <f t="shared" ca="1" si="14"/>
        <v>0</v>
      </c>
      <c r="J79" s="7">
        <f t="shared" ca="1" si="15"/>
        <v>53.607688379515757</v>
      </c>
    </row>
    <row r="80" spans="1:10" x14ac:dyDescent="0.2">
      <c r="A80" s="6">
        <v>73</v>
      </c>
      <c r="B80" s="7">
        <f t="shared" ca="1" si="8"/>
        <v>0.38700806696440671</v>
      </c>
      <c r="C80" s="7">
        <f t="shared" ca="1" si="9"/>
        <v>30.720484017864401</v>
      </c>
      <c r="D80" s="7">
        <v>50.88330686112441</v>
      </c>
      <c r="E80" s="6">
        <f t="shared" ca="1" si="10"/>
        <v>0</v>
      </c>
      <c r="F80" s="6">
        <f t="shared" ca="1" si="11"/>
        <v>0</v>
      </c>
      <c r="G80" s="7">
        <f t="shared" ca="1" si="12"/>
        <v>53.607688379515757</v>
      </c>
      <c r="H80" s="7">
        <f t="shared" ca="1" si="13"/>
        <v>0.14562868861429779</v>
      </c>
      <c r="I80" s="6">
        <f t="shared" ca="1" si="14"/>
        <v>0</v>
      </c>
      <c r="J80" s="7">
        <f t="shared" ca="1" si="15"/>
        <v>53.607688379515757</v>
      </c>
    </row>
    <row r="81" spans="1:10" x14ac:dyDescent="0.2">
      <c r="A81" s="6">
        <v>74</v>
      </c>
      <c r="B81" s="7">
        <f t="shared" ca="1" si="8"/>
        <v>0.22561138955696081</v>
      </c>
      <c r="C81" s="7">
        <f t="shared" ca="1" si="9"/>
        <v>21.036683373417649</v>
      </c>
      <c r="D81" s="7">
        <v>51.332115469159064</v>
      </c>
      <c r="E81" s="6">
        <f t="shared" ca="1" si="10"/>
        <v>1</v>
      </c>
      <c r="F81" s="6">
        <f t="shared" ca="1" si="11"/>
        <v>1</v>
      </c>
      <c r="G81" s="7">
        <f t="shared" ca="1" si="12"/>
        <v>53.607688379515757</v>
      </c>
      <c r="H81" s="7">
        <f t="shared" ca="1" si="13"/>
        <v>3.8057359872559058</v>
      </c>
      <c r="I81" s="6">
        <f t="shared" ca="1" si="14"/>
        <v>0</v>
      </c>
      <c r="J81" s="7">
        <f t="shared" ca="1" si="15"/>
        <v>53.607688379515757</v>
      </c>
    </row>
    <row r="82" spans="1:10" x14ac:dyDescent="0.2">
      <c r="A82" s="6">
        <v>75</v>
      </c>
      <c r="B82" s="7">
        <f t="shared" ca="1" si="8"/>
        <v>0.47958192776522479</v>
      </c>
      <c r="C82" s="7">
        <f t="shared" ca="1" si="9"/>
        <v>36.27491566591349</v>
      </c>
      <c r="D82" s="7">
        <v>53.154996409369012</v>
      </c>
      <c r="E82" s="6">
        <f t="shared" ca="1" si="10"/>
        <v>1</v>
      </c>
      <c r="F82" s="6">
        <f t="shared" ca="1" si="11"/>
        <v>0</v>
      </c>
      <c r="G82" s="7">
        <f t="shared" ca="1" si="12"/>
        <v>53.607688379515757</v>
      </c>
      <c r="H82" s="7">
        <f t="shared" ca="1" si="13"/>
        <v>1.0837695182635725</v>
      </c>
      <c r="I82" s="6">
        <f t="shared" ca="1" si="14"/>
        <v>1</v>
      </c>
      <c r="J82" s="7">
        <f t="shared" ca="1" si="15"/>
        <v>54.69145789777933</v>
      </c>
    </row>
    <row r="83" spans="1:10" x14ac:dyDescent="0.2">
      <c r="A83" s="6">
        <v>76</v>
      </c>
      <c r="B83" s="7">
        <f t="shared" ca="1" si="8"/>
        <v>0.83496004289596881</v>
      </c>
      <c r="C83" s="7">
        <f t="shared" ca="1" si="9"/>
        <v>60.146762849537268</v>
      </c>
      <c r="D83" s="7">
        <v>55.216200604175285</v>
      </c>
      <c r="E83" s="6">
        <f t="shared" ca="1" si="10"/>
        <v>1</v>
      </c>
      <c r="F83" s="6">
        <f t="shared" ca="1" si="11"/>
        <v>0</v>
      </c>
      <c r="G83" s="7">
        <f t="shared" ca="1" si="12"/>
        <v>55.216200604175285</v>
      </c>
      <c r="H83" s="7">
        <f t="shared" ca="1" si="13"/>
        <v>2.8769405089752658</v>
      </c>
      <c r="I83" s="6">
        <f t="shared" ca="1" si="14"/>
        <v>1</v>
      </c>
      <c r="J83" s="7">
        <f t="shared" ca="1" si="15"/>
        <v>58.093141113150551</v>
      </c>
    </row>
    <row r="84" spans="1:10" x14ac:dyDescent="0.2">
      <c r="A84" s="6">
        <v>77</v>
      </c>
      <c r="B84" s="7">
        <f t="shared" ca="1" si="8"/>
        <v>0.20472620434842126</v>
      </c>
      <c r="C84" s="7">
        <f t="shared" ca="1" si="9"/>
        <v>19.783572260905274</v>
      </c>
      <c r="D84" s="7">
        <v>56.397476837429394</v>
      </c>
      <c r="E84" s="6">
        <f t="shared" ca="1" si="10"/>
        <v>1</v>
      </c>
      <c r="F84" s="6">
        <f t="shared" ca="1" si="11"/>
        <v>0</v>
      </c>
      <c r="G84" s="7">
        <f t="shared" ca="1" si="12"/>
        <v>58.093141113150551</v>
      </c>
      <c r="H84" s="7">
        <f t="shared" ca="1" si="13"/>
        <v>0.23074683336652732</v>
      </c>
      <c r="I84" s="6">
        <f t="shared" ca="1" si="14"/>
        <v>1</v>
      </c>
      <c r="J84" s="7">
        <f t="shared" ca="1" si="15"/>
        <v>58.323887946517075</v>
      </c>
    </row>
    <row r="85" spans="1:10" x14ac:dyDescent="0.2">
      <c r="A85" s="6">
        <v>78</v>
      </c>
      <c r="B85" s="7">
        <f t="shared" ca="1" si="8"/>
        <v>0.99557599229647276</v>
      </c>
      <c r="C85" s="7">
        <f t="shared" ca="1" si="9"/>
        <v>85.112296899458073</v>
      </c>
      <c r="D85" s="7">
        <v>56.956595387435044</v>
      </c>
      <c r="E85" s="6">
        <f t="shared" ca="1" si="10"/>
        <v>1</v>
      </c>
      <c r="F85" s="6">
        <f t="shared" ca="1" si="11"/>
        <v>0</v>
      </c>
      <c r="G85" s="7">
        <f t="shared" ca="1" si="12"/>
        <v>58.323887946517075</v>
      </c>
      <c r="H85" s="7">
        <f t="shared" ca="1" si="13"/>
        <v>0.24833626392881875</v>
      </c>
      <c r="I85" s="6">
        <f t="shared" ca="1" si="14"/>
        <v>1</v>
      </c>
      <c r="J85" s="7">
        <f t="shared" ca="1" si="15"/>
        <v>58.572224210445896</v>
      </c>
    </row>
    <row r="86" spans="1:10" x14ac:dyDescent="0.2">
      <c r="A86" s="6">
        <v>79</v>
      </c>
      <c r="B86" s="7">
        <f t="shared" ca="1" si="8"/>
        <v>0.88361533448418228</v>
      </c>
      <c r="C86" s="7">
        <f t="shared" ca="1" si="9"/>
        <v>64.930552583165792</v>
      </c>
      <c r="D86" s="7">
        <v>57.599794388990276</v>
      </c>
      <c r="E86" s="6">
        <f t="shared" ca="1" si="10"/>
        <v>1</v>
      </c>
      <c r="F86" s="6">
        <f t="shared" ca="1" si="11"/>
        <v>0</v>
      </c>
      <c r="G86" s="7">
        <f t="shared" ca="1" si="12"/>
        <v>58.572224210445896</v>
      </c>
      <c r="H86" s="7">
        <f t="shared" ca="1" si="13"/>
        <v>1.5590314426704093</v>
      </c>
      <c r="I86" s="6">
        <f t="shared" ca="1" si="14"/>
        <v>1</v>
      </c>
      <c r="J86" s="7">
        <f t="shared" ca="1" si="15"/>
        <v>60.131255653116305</v>
      </c>
    </row>
    <row r="87" spans="1:10" x14ac:dyDescent="0.2">
      <c r="A87" s="6">
        <v>80</v>
      </c>
      <c r="B87" s="7">
        <f t="shared" ca="1" si="8"/>
        <v>0.72147626465355164</v>
      </c>
      <c r="C87" s="7">
        <f t="shared" ca="1" si="9"/>
        <v>51.218197941936459</v>
      </c>
      <c r="D87" s="7">
        <v>57.85184756821441</v>
      </c>
      <c r="E87" s="6">
        <f t="shared" ca="1" si="10"/>
        <v>1</v>
      </c>
      <c r="F87" s="6">
        <f t="shared" ca="1" si="11"/>
        <v>1</v>
      </c>
      <c r="G87" s="7">
        <f t="shared" ca="1" si="12"/>
        <v>60.131255653116305</v>
      </c>
      <c r="H87" s="7">
        <f t="shared" ca="1" si="13"/>
        <v>0.54935025853578312</v>
      </c>
      <c r="I87" s="6">
        <f t="shared" ca="1" si="14"/>
        <v>0</v>
      </c>
      <c r="J87" s="7">
        <f t="shared" ca="1" si="15"/>
        <v>60.131255653116305</v>
      </c>
    </row>
    <row r="88" spans="1:10" x14ac:dyDescent="0.2">
      <c r="A88" s="6">
        <v>81</v>
      </c>
      <c r="B88" s="7">
        <f t="shared" ca="1" si="8"/>
        <v>0.5194009097977289</v>
      </c>
      <c r="C88" s="7">
        <f t="shared" ca="1" si="9"/>
        <v>38.664054587863731</v>
      </c>
      <c r="D88" s="7">
        <v>58.37684277426758</v>
      </c>
      <c r="E88" s="6">
        <f t="shared" ca="1" si="10"/>
        <v>1</v>
      </c>
      <c r="F88" s="6">
        <f t="shared" ca="1" si="11"/>
        <v>0</v>
      </c>
      <c r="G88" s="7">
        <f t="shared" ca="1" si="12"/>
        <v>60.131255653116305</v>
      </c>
      <c r="H88" s="7">
        <f t="shared" ca="1" si="13"/>
        <v>0.44682672020858893</v>
      </c>
      <c r="I88" s="6">
        <f t="shared" ca="1" si="14"/>
        <v>1</v>
      </c>
      <c r="J88" s="7">
        <f t="shared" ca="1" si="15"/>
        <v>60.578082373324897</v>
      </c>
    </row>
    <row r="89" spans="1:10" x14ac:dyDescent="0.2">
      <c r="A89" s="6">
        <v>82</v>
      </c>
      <c r="B89" s="7">
        <f t="shared" ca="1" si="8"/>
        <v>0.95864397917380395</v>
      </c>
      <c r="C89" s="7">
        <f t="shared" ca="1" si="9"/>
        <v>75.05602086251929</v>
      </c>
      <c r="D89" s="7">
        <v>58.723253141906952</v>
      </c>
      <c r="E89" s="6">
        <f t="shared" ca="1" si="10"/>
        <v>1</v>
      </c>
      <c r="F89" s="6">
        <f t="shared" ca="1" si="11"/>
        <v>0</v>
      </c>
      <c r="G89" s="7">
        <f t="shared" ca="1" si="12"/>
        <v>60.578082373324897</v>
      </c>
      <c r="H89" s="7">
        <f t="shared" ca="1" si="13"/>
        <v>7.6349899621085529E-2</v>
      </c>
      <c r="I89" s="6">
        <f t="shared" ca="1" si="14"/>
        <v>1</v>
      </c>
      <c r="J89" s="7">
        <f t="shared" ca="1" si="15"/>
        <v>60.654432272945982</v>
      </c>
    </row>
    <row r="90" spans="1:10" x14ac:dyDescent="0.2">
      <c r="A90" s="6">
        <v>83</v>
      </c>
      <c r="B90" s="7">
        <f t="shared" ca="1" si="8"/>
        <v>0.84179055770143496</v>
      </c>
      <c r="C90" s="7">
        <f t="shared" ca="1" si="9"/>
        <v>60.771059061056434</v>
      </c>
      <c r="D90" s="7">
        <v>59.307049072952054</v>
      </c>
      <c r="E90" s="6">
        <f t="shared" ca="1" si="10"/>
        <v>1</v>
      </c>
      <c r="F90" s="6">
        <f t="shared" ca="1" si="11"/>
        <v>0</v>
      </c>
      <c r="G90" s="7">
        <f t="shared" ca="1" si="12"/>
        <v>60.654432272945982</v>
      </c>
      <c r="H90" s="7">
        <f t="shared" ca="1" si="13"/>
        <v>3.9105792784221119E-2</v>
      </c>
      <c r="I90" s="6">
        <f t="shared" ca="1" si="14"/>
        <v>1</v>
      </c>
      <c r="J90" s="7">
        <f t="shared" ca="1" si="15"/>
        <v>60.693538065730202</v>
      </c>
    </row>
    <row r="91" spans="1:10" x14ac:dyDescent="0.2">
      <c r="A91" s="6">
        <v>84</v>
      </c>
      <c r="B91" s="7">
        <f t="shared" ca="1" si="8"/>
        <v>0.80057310964220785</v>
      </c>
      <c r="C91" s="7">
        <f t="shared" ca="1" si="9"/>
        <v>57.183766091580864</v>
      </c>
      <c r="D91" s="7">
        <v>59.464820121697514</v>
      </c>
      <c r="E91" s="6">
        <f t="shared" ca="1" si="10"/>
        <v>1</v>
      </c>
      <c r="F91" s="6">
        <f t="shared" ca="1" si="11"/>
        <v>0</v>
      </c>
      <c r="G91" s="7">
        <f t="shared" ca="1" si="12"/>
        <v>60.693538065730202</v>
      </c>
      <c r="H91" s="7">
        <f t="shared" ca="1" si="13"/>
        <v>2.1364273751446441</v>
      </c>
      <c r="I91" s="6">
        <f t="shared" ca="1" si="14"/>
        <v>1</v>
      </c>
      <c r="J91" s="7">
        <f t="shared" ca="1" si="15"/>
        <v>62.829965440874844</v>
      </c>
    </row>
    <row r="92" spans="1:10" x14ac:dyDescent="0.2">
      <c r="A92" s="6">
        <v>85</v>
      </c>
      <c r="B92" s="7">
        <f t="shared" ca="1" si="8"/>
        <v>0.58961469590075344</v>
      </c>
      <c r="C92" s="7">
        <f t="shared" ca="1" si="9"/>
        <v>42.876881754045208</v>
      </c>
      <c r="D92" s="7">
        <v>60.06777389663128</v>
      </c>
      <c r="E92" s="6">
        <f t="shared" ca="1" si="10"/>
        <v>1</v>
      </c>
      <c r="F92" s="6">
        <f t="shared" ca="1" si="11"/>
        <v>1</v>
      </c>
      <c r="G92" s="7">
        <f t="shared" ca="1" si="12"/>
        <v>62.829965440874844</v>
      </c>
      <c r="H92" s="7">
        <f t="shared" ca="1" si="13"/>
        <v>0.9079945708674283</v>
      </c>
      <c r="I92" s="6">
        <f t="shared" ca="1" si="14"/>
        <v>0</v>
      </c>
      <c r="J92" s="7">
        <f t="shared" ca="1" si="15"/>
        <v>62.829965440874844</v>
      </c>
    </row>
    <row r="93" spans="1:10" x14ac:dyDescent="0.2">
      <c r="A93" s="6">
        <v>86</v>
      </c>
      <c r="B93" s="7">
        <f t="shared" ca="1" si="8"/>
        <v>0.52065305476404089</v>
      </c>
      <c r="C93" s="7">
        <f t="shared" ca="1" si="9"/>
        <v>38.739183285842451</v>
      </c>
      <c r="D93" s="7">
        <v>62.094785463806694</v>
      </c>
      <c r="E93" s="6">
        <f t="shared" ca="1" si="10"/>
        <v>1</v>
      </c>
      <c r="F93" s="6">
        <f t="shared" ca="1" si="11"/>
        <v>0</v>
      </c>
      <c r="G93" s="7">
        <f t="shared" ca="1" si="12"/>
        <v>62.829965440874844</v>
      </c>
      <c r="H93" s="7">
        <f t="shared" ca="1" si="13"/>
        <v>0.95190949443906658</v>
      </c>
      <c r="I93" s="6">
        <f t="shared" ca="1" si="14"/>
        <v>1</v>
      </c>
      <c r="J93" s="7">
        <f t="shared" ca="1" si="15"/>
        <v>63.781874935313908</v>
      </c>
    </row>
    <row r="94" spans="1:10" x14ac:dyDescent="0.2">
      <c r="A94" s="6">
        <v>87</v>
      </c>
      <c r="B94" s="7">
        <f t="shared" ca="1" si="8"/>
        <v>0.56268630314722445</v>
      </c>
      <c r="C94" s="7">
        <f t="shared" ca="1" si="9"/>
        <v>41.261178188833469</v>
      </c>
      <c r="D94" s="7">
        <v>62.79020314173227</v>
      </c>
      <c r="E94" s="6">
        <f t="shared" ca="1" si="10"/>
        <v>1</v>
      </c>
      <c r="F94" s="6">
        <f t="shared" ca="1" si="11"/>
        <v>0</v>
      </c>
      <c r="G94" s="7">
        <f t="shared" ca="1" si="12"/>
        <v>63.781874935313908</v>
      </c>
      <c r="H94" s="7">
        <f t="shared" ca="1" si="13"/>
        <v>0.44890065820198377</v>
      </c>
      <c r="I94" s="6">
        <f t="shared" ca="1" si="14"/>
        <v>1</v>
      </c>
      <c r="J94" s="7">
        <f t="shared" ca="1" si="15"/>
        <v>64.230775593515887</v>
      </c>
    </row>
    <row r="95" spans="1:10" x14ac:dyDescent="0.2">
      <c r="A95" s="6">
        <v>88</v>
      </c>
      <c r="B95" s="7">
        <f t="shared" ca="1" si="8"/>
        <v>0.56494680376008333</v>
      </c>
      <c r="C95" s="7">
        <f t="shared" ca="1" si="9"/>
        <v>41.396808225605</v>
      </c>
      <c r="D95" s="7">
        <v>63.337523096362673</v>
      </c>
      <c r="E95" s="6">
        <f t="shared" ca="1" si="10"/>
        <v>1</v>
      </c>
      <c r="F95" s="6">
        <f t="shared" ca="1" si="11"/>
        <v>0</v>
      </c>
      <c r="G95" s="7">
        <f t="shared" ca="1" si="12"/>
        <v>64.230775593515887</v>
      </c>
      <c r="H95" s="7">
        <f t="shared" ca="1" si="13"/>
        <v>9.0366495100923955E-2</v>
      </c>
      <c r="I95" s="6">
        <f t="shared" ca="1" si="14"/>
        <v>1</v>
      </c>
      <c r="J95" s="7">
        <f t="shared" ca="1" si="15"/>
        <v>64.32114208861681</v>
      </c>
    </row>
    <row r="96" spans="1:10" x14ac:dyDescent="0.2">
      <c r="A96" s="6">
        <v>89</v>
      </c>
      <c r="B96" s="7">
        <f t="shared" ca="1" si="8"/>
        <v>0.20606217056803366</v>
      </c>
      <c r="C96" s="7">
        <f t="shared" ca="1" si="9"/>
        <v>19.86373023408202</v>
      </c>
      <c r="D96" s="7">
        <v>63.795374321103829</v>
      </c>
      <c r="E96" s="6">
        <f t="shared" ca="1" si="10"/>
        <v>1</v>
      </c>
      <c r="F96" s="6">
        <f t="shared" ca="1" si="11"/>
        <v>0</v>
      </c>
      <c r="G96" s="7">
        <f t="shared" ca="1" si="12"/>
        <v>64.32114208861681</v>
      </c>
      <c r="H96" s="7">
        <f t="shared" ca="1" si="13"/>
        <v>0.36104983046360845</v>
      </c>
      <c r="I96" s="6">
        <f t="shared" ca="1" si="14"/>
        <v>1</v>
      </c>
      <c r="J96" s="7">
        <f t="shared" ca="1" si="15"/>
        <v>64.682191919080424</v>
      </c>
    </row>
    <row r="97" spans="1:10" x14ac:dyDescent="0.2">
      <c r="A97" s="6">
        <v>90</v>
      </c>
      <c r="B97" s="7">
        <f t="shared" ca="1" si="8"/>
        <v>0.52609392987896086</v>
      </c>
      <c r="C97" s="7">
        <f t="shared" ca="1" si="9"/>
        <v>39.065635792737652</v>
      </c>
      <c r="D97" s="7">
        <v>65.94866304120373</v>
      </c>
      <c r="E97" s="6">
        <f t="shared" ca="1" si="10"/>
        <v>1</v>
      </c>
      <c r="F97" s="6">
        <f t="shared" ca="1" si="11"/>
        <v>0</v>
      </c>
      <c r="G97" s="7">
        <f t="shared" ca="1" si="12"/>
        <v>65.94866304120373</v>
      </c>
      <c r="H97" s="7">
        <f t="shared" ca="1" si="13"/>
        <v>2.7035934748603139</v>
      </c>
      <c r="I97" s="6">
        <f t="shared" ca="1" si="14"/>
        <v>1</v>
      </c>
      <c r="J97" s="7">
        <f t="shared" ca="1" si="15"/>
        <v>68.652256516064043</v>
      </c>
    </row>
    <row r="98" spans="1:10" x14ac:dyDescent="0.2">
      <c r="A98" s="6">
        <v>91</v>
      </c>
      <c r="B98" s="7">
        <f t="shared" ca="1" si="8"/>
        <v>0.72613558863588501</v>
      </c>
      <c r="C98" s="7">
        <f t="shared" ca="1" si="9"/>
        <v>51.543949482997853</v>
      </c>
      <c r="D98" s="7">
        <v>69.789778307135251</v>
      </c>
      <c r="E98" s="6">
        <f t="shared" ca="1" si="10"/>
        <v>1</v>
      </c>
      <c r="F98" s="6">
        <f t="shared" ca="1" si="11"/>
        <v>0</v>
      </c>
      <c r="G98" s="7">
        <f t="shared" ca="1" si="12"/>
        <v>69.789778307135251</v>
      </c>
      <c r="H98" s="7">
        <f t="shared" ca="1" si="13"/>
        <v>0.16543811819113757</v>
      </c>
      <c r="I98" s="6">
        <f t="shared" ca="1" si="14"/>
        <v>1</v>
      </c>
      <c r="J98" s="7">
        <f t="shared" ca="1" si="15"/>
        <v>69.955216425326384</v>
      </c>
    </row>
    <row r="99" spans="1:10" x14ac:dyDescent="0.2">
      <c r="A99" s="6">
        <v>92</v>
      </c>
      <c r="B99" s="7">
        <f t="shared" ca="1" si="8"/>
        <v>0.51124943894767627</v>
      </c>
      <c r="C99" s="7">
        <f t="shared" ca="1" si="9"/>
        <v>38.174966336860578</v>
      </c>
      <c r="D99" s="7">
        <v>71.254200757681417</v>
      </c>
      <c r="E99" s="6">
        <f t="shared" ca="1" si="10"/>
        <v>0</v>
      </c>
      <c r="F99" s="6">
        <f t="shared" ca="1" si="11"/>
        <v>0</v>
      </c>
      <c r="G99" s="7">
        <f t="shared" ca="1" si="12"/>
        <v>71.254200757681417</v>
      </c>
      <c r="H99" s="7">
        <f t="shared" ca="1" si="13"/>
        <v>0.85773592390489928</v>
      </c>
      <c r="I99" s="6">
        <f t="shared" ca="1" si="14"/>
        <v>0</v>
      </c>
      <c r="J99" s="7">
        <f t="shared" ca="1" si="15"/>
        <v>69.955216425326384</v>
      </c>
    </row>
    <row r="100" spans="1:10" x14ac:dyDescent="0.2">
      <c r="A100" s="6">
        <v>93</v>
      </c>
      <c r="B100" s="7">
        <f t="shared" ca="1" si="8"/>
        <v>0.30408008336010817</v>
      </c>
      <c r="C100" s="7">
        <f t="shared" ca="1" si="9"/>
        <v>25.74480500160649</v>
      </c>
      <c r="D100" s="7">
        <v>72.452601053793558</v>
      </c>
      <c r="E100" s="6">
        <f t="shared" ca="1" si="10"/>
        <v>1</v>
      </c>
      <c r="F100" s="6">
        <f t="shared" ca="1" si="11"/>
        <v>0</v>
      </c>
      <c r="G100" s="7">
        <f t="shared" ca="1" si="12"/>
        <v>72.452601053793558</v>
      </c>
      <c r="H100" s="7">
        <f t="shared" ca="1" si="13"/>
        <v>0.41161465157308497</v>
      </c>
      <c r="I100" s="6">
        <f t="shared" ca="1" si="14"/>
        <v>1</v>
      </c>
      <c r="J100" s="7">
        <f t="shared" ca="1" si="15"/>
        <v>72.864215705366647</v>
      </c>
    </row>
    <row r="101" spans="1:10" x14ac:dyDescent="0.2">
      <c r="A101" s="6">
        <v>94</v>
      </c>
      <c r="B101" s="7">
        <f t="shared" ca="1" si="8"/>
        <v>0.28221791639936378</v>
      </c>
      <c r="C101" s="7">
        <f t="shared" ca="1" si="9"/>
        <v>24.433074983961827</v>
      </c>
      <c r="D101" s="7">
        <v>73.359054194776064</v>
      </c>
      <c r="E101" s="6">
        <f t="shared" ca="1" si="10"/>
        <v>1</v>
      </c>
      <c r="F101" s="6">
        <f t="shared" ca="1" si="11"/>
        <v>0</v>
      </c>
      <c r="G101" s="7">
        <f t="shared" ca="1" si="12"/>
        <v>73.359054194776064</v>
      </c>
      <c r="H101" s="7">
        <f t="shared" ca="1" si="13"/>
        <v>2.3981842120055763</v>
      </c>
      <c r="I101" s="6">
        <f t="shared" ca="1" si="14"/>
        <v>1</v>
      </c>
      <c r="J101" s="7">
        <f t="shared" ca="1" si="15"/>
        <v>75.757238406781639</v>
      </c>
    </row>
    <row r="102" spans="1:10" x14ac:dyDescent="0.2">
      <c r="A102" s="6">
        <v>95</v>
      </c>
      <c r="B102" s="7">
        <f t="shared" ca="1" si="8"/>
        <v>0.93634184029527656</v>
      </c>
      <c r="C102" s="7">
        <f t="shared" ca="1" si="9"/>
        <v>71.459394227655167</v>
      </c>
      <c r="D102" s="7">
        <v>73.978792736672176</v>
      </c>
      <c r="E102" s="6">
        <f t="shared" ca="1" si="10"/>
        <v>1</v>
      </c>
      <c r="F102" s="6">
        <f t="shared" ca="1" si="11"/>
        <v>0</v>
      </c>
      <c r="G102" s="7">
        <f t="shared" ca="1" si="12"/>
        <v>75.757238406781639</v>
      </c>
      <c r="H102" s="7">
        <f t="shared" ca="1" si="13"/>
        <v>0.19396609522244282</v>
      </c>
      <c r="I102" s="6">
        <f t="shared" ca="1" si="14"/>
        <v>1</v>
      </c>
      <c r="J102" s="7">
        <f t="shared" ca="1" si="15"/>
        <v>75.951204502004074</v>
      </c>
    </row>
    <row r="103" spans="1:10" x14ac:dyDescent="0.2">
      <c r="A103" s="6">
        <v>96</v>
      </c>
      <c r="B103" s="7">
        <f t="shared" ca="1" si="8"/>
        <v>0.23279440114813277</v>
      </c>
      <c r="C103" s="7">
        <f t="shared" ca="1" si="9"/>
        <v>21.467664068887967</v>
      </c>
      <c r="D103" s="7">
        <v>78.408881206936755</v>
      </c>
      <c r="E103" s="6">
        <f t="shared" ca="1" si="10"/>
        <v>0</v>
      </c>
      <c r="F103" s="6">
        <f t="shared" ca="1" si="11"/>
        <v>0</v>
      </c>
      <c r="G103" s="7">
        <f t="shared" ca="1" si="12"/>
        <v>78.408881206936755</v>
      </c>
      <c r="H103" s="7">
        <f t="shared" ca="1" si="13"/>
        <v>0.15549225756396856</v>
      </c>
      <c r="I103" s="6">
        <f t="shared" ca="1" si="14"/>
        <v>0</v>
      </c>
      <c r="J103" s="7">
        <f t="shared" ca="1" si="15"/>
        <v>75.951204502004074</v>
      </c>
    </row>
    <row r="104" spans="1:10" x14ac:dyDescent="0.2">
      <c r="A104" s="6">
        <v>97</v>
      </c>
      <c r="B104" s="7">
        <f t="shared" ca="1" si="8"/>
        <v>0.842762771230537</v>
      </c>
      <c r="C104" s="7">
        <f t="shared" ca="1" si="9"/>
        <v>60.86100490141947</v>
      </c>
      <c r="D104" s="7">
        <v>78.550711537652546</v>
      </c>
      <c r="E104" s="6">
        <f t="shared" ca="1" si="10"/>
        <v>1</v>
      </c>
      <c r="F104" s="6">
        <f t="shared" ca="1" si="11"/>
        <v>0</v>
      </c>
      <c r="G104" s="7">
        <f t="shared" ca="1" si="12"/>
        <v>78.550711537652546</v>
      </c>
      <c r="H104" s="7">
        <f t="shared" ca="1" si="13"/>
        <v>1.9857008647286922</v>
      </c>
      <c r="I104" s="6">
        <f t="shared" ca="1" si="14"/>
        <v>1</v>
      </c>
      <c r="J104" s="7">
        <f t="shared" ca="1" si="15"/>
        <v>80.536412402381245</v>
      </c>
    </row>
    <row r="105" spans="1:10" x14ac:dyDescent="0.2">
      <c r="A105" s="6">
        <v>98</v>
      </c>
      <c r="B105" s="7">
        <f t="shared" ca="1" si="8"/>
        <v>0.95382628107619172</v>
      </c>
      <c r="C105" s="7">
        <f t="shared" ca="1" si="9"/>
        <v>74.209557251661224</v>
      </c>
      <c r="D105" s="7">
        <v>84.087823456823912</v>
      </c>
      <c r="E105" s="6">
        <f t="shared" ca="1" si="10"/>
        <v>1</v>
      </c>
      <c r="F105" s="6">
        <f t="shared" ca="1" si="11"/>
        <v>0</v>
      </c>
      <c r="G105" s="7">
        <f t="shared" ca="1" si="12"/>
        <v>84.087823456823912</v>
      </c>
      <c r="H105" s="7">
        <f t="shared" ca="1" si="13"/>
        <v>2.6191211576775388</v>
      </c>
      <c r="I105" s="6">
        <f t="shared" ca="1" si="14"/>
        <v>1</v>
      </c>
      <c r="J105" s="7">
        <f t="shared" ca="1" si="15"/>
        <v>86.706944614501452</v>
      </c>
    </row>
    <row r="106" spans="1:10" x14ac:dyDescent="0.2">
      <c r="A106" s="6">
        <v>99</v>
      </c>
      <c r="B106" s="7">
        <f t="shared" ca="1" si="8"/>
        <v>0.47307907089172763</v>
      </c>
      <c r="C106" s="7">
        <f t="shared" ca="1" si="9"/>
        <v>35.884744253503655</v>
      </c>
      <c r="D106" s="7">
        <v>85.131506105658502</v>
      </c>
      <c r="E106" s="6">
        <f t="shared" ca="1" si="10"/>
        <v>1</v>
      </c>
      <c r="F106" s="6">
        <f t="shared" ca="1" si="11"/>
        <v>0</v>
      </c>
      <c r="G106" s="7">
        <f t="shared" ca="1" si="12"/>
        <v>86.706944614501452</v>
      </c>
      <c r="H106" s="7">
        <f t="shared" ca="1" si="13"/>
        <v>0.45408887839372525</v>
      </c>
      <c r="I106" s="6">
        <f t="shared" ca="1" si="14"/>
        <v>1</v>
      </c>
      <c r="J106" s="7">
        <f t="shared" ca="1" si="15"/>
        <v>87.161033492895172</v>
      </c>
    </row>
    <row r="107" spans="1:10" x14ac:dyDescent="0.2">
      <c r="A107" s="6">
        <v>100</v>
      </c>
      <c r="B107" s="7">
        <f t="shared" ca="1" si="8"/>
        <v>0.12896197599512771</v>
      </c>
      <c r="C107" s="7">
        <f t="shared" ca="1" si="9"/>
        <v>15.237718559707663</v>
      </c>
      <c r="D107" s="7">
        <v>85.47579748995507</v>
      </c>
      <c r="E107" s="6">
        <f t="shared" ca="1" si="10"/>
        <v>0</v>
      </c>
      <c r="F107" s="6">
        <f t="shared" ca="1" si="11"/>
        <v>0</v>
      </c>
      <c r="G107" s="7">
        <f t="shared" ca="1" si="12"/>
        <v>87.161033492895172</v>
      </c>
      <c r="H107" s="7">
        <f t="shared" ca="1" si="13"/>
        <v>0.44221629760627068</v>
      </c>
      <c r="I107" s="6">
        <f t="shared" ca="1" si="14"/>
        <v>0</v>
      </c>
      <c r="J107" s="7">
        <f t="shared" ca="1" si="15"/>
        <v>87.161033492895172</v>
      </c>
    </row>
  </sheetData>
  <sortState ref="D8:D107">
    <sortCondition ref="D8:D107"/>
  </sortState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rTimes">
                <anchor moveWithCells="1" sizeWithCells="1">
                  <from>
                    <xdr:col>0</xdr:col>
                    <xdr:colOff>127000</xdr:colOff>
                    <xdr:row>2</xdr:row>
                    <xdr:rowOff>50800</xdr:rowOff>
                  </from>
                  <to>
                    <xdr:col>0</xdr:col>
                    <xdr:colOff>482600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Coffee Shop</vt:lpstr>
      <vt:lpstr>'Coffee Shop'!Print_Area</vt:lpstr>
    </vt:vector>
  </TitlesOfParts>
  <Company>Colorado Mesa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Larrechea, Taylor J</dc:creator>
  <cp:lastModifiedBy>zippytato@gmail.com</cp:lastModifiedBy>
  <dcterms:created xsi:type="dcterms:W3CDTF">2018-04-12T16:01:48Z</dcterms:created>
  <dcterms:modified xsi:type="dcterms:W3CDTF">2018-04-23T17:19:45Z</dcterms:modified>
</cp:coreProperties>
</file>